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9B9BD9CB-54F6-4FFC-914A-B219EBD1F35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بيان الاستهلاك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6" i="1" l="1"/>
  <c r="E86" i="1"/>
  <c r="J85" i="1"/>
  <c r="E85" i="1"/>
  <c r="J84" i="1"/>
  <c r="E84" i="1"/>
  <c r="J83" i="1"/>
  <c r="E83" i="1"/>
  <c r="J82" i="1"/>
  <c r="E82" i="1"/>
  <c r="J81" i="1"/>
  <c r="E81" i="1"/>
  <c r="J80" i="1"/>
  <c r="E80" i="1"/>
  <c r="J79" i="1"/>
  <c r="E79" i="1"/>
  <c r="J78" i="1"/>
  <c r="E78" i="1"/>
  <c r="J77" i="1"/>
  <c r="E77" i="1"/>
  <c r="J76" i="1"/>
  <c r="E76" i="1"/>
  <c r="J75" i="1"/>
  <c r="E75" i="1"/>
  <c r="J74" i="1"/>
  <c r="E74" i="1"/>
  <c r="J73" i="1"/>
  <c r="E73" i="1"/>
  <c r="J72" i="1"/>
  <c r="E72" i="1"/>
  <c r="J71" i="1"/>
  <c r="E71" i="1"/>
  <c r="J70" i="1"/>
  <c r="E70" i="1"/>
  <c r="J69" i="1"/>
  <c r="E69" i="1"/>
</calcChain>
</file>

<file path=xl/sharedStrings.xml><?xml version="1.0" encoding="utf-8"?>
<sst xmlns="http://schemas.openxmlformats.org/spreadsheetml/2006/main" count="258" uniqueCount="192">
  <si>
    <t>بيان استهلاك الزيوت والفلاتر للسيارات الديزل (فرع الدمام) من تاريخ 2025/12/17 الى تاريخ 2026/2/7</t>
  </si>
  <si>
    <t>م</t>
  </si>
  <si>
    <t>رقم لوحة السيارة</t>
  </si>
  <si>
    <t>المستخدم</t>
  </si>
  <si>
    <t>تاريخ تغيير الزيت</t>
  </si>
  <si>
    <t>رقم العداد</t>
  </si>
  <si>
    <t>عدد اللترات</t>
  </si>
  <si>
    <t>عدد فلاتر الزيت والديزل والهواء</t>
  </si>
  <si>
    <t>ب ط س 3258</t>
  </si>
  <si>
    <t>حمداني</t>
  </si>
  <si>
    <t>2025/12/17</t>
  </si>
  <si>
    <t>ب ح ه 5088</t>
  </si>
  <si>
    <t>حسام ابو المجد</t>
  </si>
  <si>
    <t>2025/12/18</t>
  </si>
  <si>
    <t>ب س ل 5541</t>
  </si>
  <si>
    <t>كريم عبدالمنعم</t>
  </si>
  <si>
    <t>ا س ح 8715</t>
  </si>
  <si>
    <t>تنفير حسين</t>
  </si>
  <si>
    <t>1 هواء</t>
  </si>
  <si>
    <t>ا س ح 8670</t>
  </si>
  <si>
    <t>سليم اختر</t>
  </si>
  <si>
    <t>2025/12/21</t>
  </si>
  <si>
    <t>ب ط س 3259</t>
  </si>
  <si>
    <t>عمر سمان</t>
  </si>
  <si>
    <t>2025/12/22</t>
  </si>
  <si>
    <t>ب ط س 3263</t>
  </si>
  <si>
    <t>مأمون مياه</t>
  </si>
  <si>
    <t>2025/12/23</t>
  </si>
  <si>
    <t>1 زيت</t>
  </si>
  <si>
    <t>ر د ب 4650</t>
  </si>
  <si>
    <t>كرم جلال</t>
  </si>
  <si>
    <t>ا س م 8031</t>
  </si>
  <si>
    <t>عمران حسين</t>
  </si>
  <si>
    <t>2025/12/24</t>
  </si>
  <si>
    <t>ا س م 8015</t>
  </si>
  <si>
    <t>علاء عبدالنبي</t>
  </si>
  <si>
    <t>2025/12/25</t>
  </si>
  <si>
    <t>ا ر ع 2233</t>
  </si>
  <si>
    <t xml:space="preserve">مزايد </t>
  </si>
  <si>
    <t>2025/12/27</t>
  </si>
  <si>
    <t>ب ب ق 4866</t>
  </si>
  <si>
    <t>محمد باشا</t>
  </si>
  <si>
    <t>2025/12/28</t>
  </si>
  <si>
    <t>ا س ح 8714</t>
  </si>
  <si>
    <t>كابل مياه</t>
  </si>
  <si>
    <t>2025/12/29</t>
  </si>
  <si>
    <t>ب ط س 3417</t>
  </si>
  <si>
    <t>أمين العاقل</t>
  </si>
  <si>
    <t>2025/12/30</t>
  </si>
  <si>
    <t>ا ص ق 6853</t>
  </si>
  <si>
    <t>محمد عبدالنبي</t>
  </si>
  <si>
    <t>ا ص ق 6855</t>
  </si>
  <si>
    <t>محمد المندوه</t>
  </si>
  <si>
    <t>ب ب ق 4868</t>
  </si>
  <si>
    <t>مانو رشيد</t>
  </si>
  <si>
    <t>2026/1/1</t>
  </si>
  <si>
    <t>ا س م 8022</t>
  </si>
  <si>
    <t>فينود</t>
  </si>
  <si>
    <t>ا س م 8025</t>
  </si>
  <si>
    <t>ثابت قاسم</t>
  </si>
  <si>
    <t>ا ر ع 2232</t>
  </si>
  <si>
    <t>انيل كومار</t>
  </si>
  <si>
    <t>2026/1/3</t>
  </si>
  <si>
    <t>1 زيت 1 هواء</t>
  </si>
  <si>
    <t>ا س م 8033</t>
  </si>
  <si>
    <t>سايفول</t>
  </si>
  <si>
    <t>ا و ب 2759</t>
  </si>
  <si>
    <t>جفري</t>
  </si>
  <si>
    <t>2026/1/5</t>
  </si>
  <si>
    <t>ا ر و 4085</t>
  </si>
  <si>
    <t>أنور</t>
  </si>
  <si>
    <t>ا س م 8021</t>
  </si>
  <si>
    <t>احمد</t>
  </si>
  <si>
    <t>ا س ح 8717</t>
  </si>
  <si>
    <t>اسف</t>
  </si>
  <si>
    <t>2026/1/6</t>
  </si>
  <si>
    <t>ا س م 8024</t>
  </si>
  <si>
    <t>عبدالصبور</t>
  </si>
  <si>
    <t>2026/1/7</t>
  </si>
  <si>
    <t>ا ر و 4084</t>
  </si>
  <si>
    <t>راجا</t>
  </si>
  <si>
    <t>2026/1/8</t>
  </si>
  <si>
    <t>روبيل</t>
  </si>
  <si>
    <t>2026/1/10</t>
  </si>
  <si>
    <t>23899HR</t>
  </si>
  <si>
    <t>ا و ب 2760</t>
  </si>
  <si>
    <t>فهاد</t>
  </si>
  <si>
    <t>2026/1/11</t>
  </si>
  <si>
    <t>ا ر و 4140</t>
  </si>
  <si>
    <t>سيراج</t>
  </si>
  <si>
    <t>ا س ق 7920</t>
  </si>
  <si>
    <t>مزايد</t>
  </si>
  <si>
    <t>2026/1/12</t>
  </si>
  <si>
    <t>ا ر ع 2240</t>
  </si>
  <si>
    <t>نديم</t>
  </si>
  <si>
    <t>علاء</t>
  </si>
  <si>
    <t>2026/1/13</t>
  </si>
  <si>
    <t>ب ط س 3478</t>
  </si>
  <si>
    <t>ا س ق 7821</t>
  </si>
  <si>
    <t>شوكت علي</t>
  </si>
  <si>
    <t>2026/1/14</t>
  </si>
  <si>
    <t>محمد عاطف</t>
  </si>
  <si>
    <t>2026/1/17</t>
  </si>
  <si>
    <t>ا س ق 7776</t>
  </si>
  <si>
    <t xml:space="preserve">رفيق </t>
  </si>
  <si>
    <t>ب ص ط 9959</t>
  </si>
  <si>
    <t>2026/1/18</t>
  </si>
  <si>
    <t>ب د ل 7208</t>
  </si>
  <si>
    <t xml:space="preserve">احمد </t>
  </si>
  <si>
    <t>2026/1/19</t>
  </si>
  <si>
    <t>عبدالنبي</t>
  </si>
  <si>
    <t>2026/1/22</t>
  </si>
  <si>
    <t>ا ر ع 2234</t>
  </si>
  <si>
    <t>شامجي</t>
  </si>
  <si>
    <t>2026/1/25</t>
  </si>
  <si>
    <t>ا ر و 4071</t>
  </si>
  <si>
    <t>كرم</t>
  </si>
  <si>
    <t>ا س م 8013</t>
  </si>
  <si>
    <t>شيمون</t>
  </si>
  <si>
    <t>2026/1/26</t>
  </si>
  <si>
    <t>2026/1/27</t>
  </si>
  <si>
    <t>2026/1/28</t>
  </si>
  <si>
    <t>ب ط س 3261</t>
  </si>
  <si>
    <t>حسن</t>
  </si>
  <si>
    <t>2026/1/31</t>
  </si>
  <si>
    <t>حسام</t>
  </si>
  <si>
    <t>رشيد</t>
  </si>
  <si>
    <t>2026/2/1</t>
  </si>
  <si>
    <t>عمران</t>
  </si>
  <si>
    <t>2026/2/4</t>
  </si>
  <si>
    <t>كريم</t>
  </si>
  <si>
    <t>ثابت</t>
  </si>
  <si>
    <t>2026/2/5</t>
  </si>
  <si>
    <t>ا س ر 8873</t>
  </si>
  <si>
    <t>احمد دنقل</t>
  </si>
  <si>
    <t>2026/2/7</t>
  </si>
  <si>
    <t>مامون مياه</t>
  </si>
  <si>
    <t xml:space="preserve">  ملاحظات وتفاصيل الفلاتر</t>
  </si>
  <si>
    <t>شراء عدد 3 براميل زيت (بترومين) من تاريخ 2025/12/17 الى تاريخ 2026/2/7</t>
  </si>
  <si>
    <t>الكمية= 625 لتر - 622 زيت مستهلك= 3 لتر المتبقي  |  وبناءا عليه تم طلب زيت جديد</t>
  </si>
  <si>
    <t>شراء فلاتر زيت وديزل جديدة + المتبقي من الفلاتر- يخصم منه ما تم تغييره بالبيان</t>
  </si>
  <si>
    <t>نوع الفلتر</t>
  </si>
  <si>
    <t>السابق</t>
  </si>
  <si>
    <t>المستهلك</t>
  </si>
  <si>
    <t>المتبقي</t>
  </si>
  <si>
    <t xml:space="preserve">فلاتر زيت ميتسوبيشي لوري </t>
  </si>
  <si>
    <t>فلاتر مكيف تويوتا بك أب</t>
  </si>
  <si>
    <t xml:space="preserve">فلاتر زيت ميتسوبيشي دينا </t>
  </si>
  <si>
    <t>فلاتر هواء جيب تويوتا</t>
  </si>
  <si>
    <t xml:space="preserve">فلاتر زيت ايسوزو دينا </t>
  </si>
  <si>
    <t>فلاتر مكيف جيب تويوتا</t>
  </si>
  <si>
    <t>فلاتر زيت تويوتا دينا</t>
  </si>
  <si>
    <t>فلاتر هواء تويوتا كورولا</t>
  </si>
  <si>
    <t xml:space="preserve">فلاتر زيت بك ايسوزو </t>
  </si>
  <si>
    <t>فلاتر مكيف تويوتا كورولا</t>
  </si>
  <si>
    <t>فلاتر زيت بك ميتسوبيشي</t>
  </si>
  <si>
    <t xml:space="preserve">فلاتر هواء فوركلفت تويوتا </t>
  </si>
  <si>
    <t>فلاتر زيت بك وجيب تويوتا + فوركلفت</t>
  </si>
  <si>
    <t>فلاتر هواء جريت وول بكب</t>
  </si>
  <si>
    <t>فلاتر زيت MG بك</t>
  </si>
  <si>
    <t>فلاتر ديزل جريت وول بكب</t>
  </si>
  <si>
    <t>فلاتر هواء ايسوزو دينا</t>
  </si>
  <si>
    <t>فلاتر مكيف جريت وول بكب</t>
  </si>
  <si>
    <t>فلاتر هواء ايسوزو بك اب</t>
  </si>
  <si>
    <t>فلاتر هواء كيا</t>
  </si>
  <si>
    <t>فلاتر هواء ميتسوبيشي لوري</t>
  </si>
  <si>
    <t>فلاتر مكيف كيا</t>
  </si>
  <si>
    <t xml:space="preserve">فلاتر هواء ميتسوبيشي دينا </t>
  </si>
  <si>
    <t>فلاتر هواء هونداي اكسنت</t>
  </si>
  <si>
    <t>فلاتر هواء بك تويوتا</t>
  </si>
  <si>
    <t>فلاتر مكيف هونداي اكسنت</t>
  </si>
  <si>
    <t>فلاتر هواء ميتسوبيشي بك</t>
  </si>
  <si>
    <t>فلاتر زيت جريت وول بكب</t>
  </si>
  <si>
    <t>فلاتر هواء ايسوزو لوري</t>
  </si>
  <si>
    <t>فلاتر زيت كيا وهونداي بنزين</t>
  </si>
  <si>
    <t xml:space="preserve">فلاتر زيت ايسوزو لوري </t>
  </si>
  <si>
    <t>فلاتر زيت كورولا بنزين</t>
  </si>
  <si>
    <t>فلاتر ديزل ايسوزو لوري</t>
  </si>
  <si>
    <t xml:space="preserve">فلاتر زيت رينو فان </t>
  </si>
  <si>
    <t>فلاتر مكيف ايسوزو بكب أب</t>
  </si>
  <si>
    <t>فلاتر زيت سوزوكي</t>
  </si>
  <si>
    <t>فلاتر الديزل</t>
  </si>
  <si>
    <t xml:space="preserve">    فلاتر ديزل ميتسوبيشي لوري + دينا + تويوتا دينا = العدد 17  </t>
  </si>
  <si>
    <t xml:space="preserve"> فلاتر ديزل ايسوزو دينا  = العدد 18  </t>
  </si>
  <si>
    <t xml:space="preserve">    فلاتر ديزل بكب ايسوزو =  العدد 11</t>
  </si>
  <si>
    <t xml:space="preserve">    فلاتر ديزل بكب ميتسوبيشي = العدد 4</t>
  </si>
  <si>
    <t xml:space="preserve">    فلاتر ديزل بكب وجيب تويوتا + فوركلفت = العدد 7</t>
  </si>
  <si>
    <t xml:space="preserve">    فلاتر ديزل إم جي بكب = العدد 0</t>
  </si>
  <si>
    <t>وبناءا عليه تم طلب وشراء فلاتر جديدة  —  الحسابات</t>
  </si>
  <si>
    <t>قسم الحركة</t>
  </si>
  <si>
    <t>التعميد</t>
  </si>
  <si>
    <t>خالد الغامدي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</si>
</sst>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rgb="FFFFFFFF"/>
      <name val="Cairo"/>
    </font>
    <font>
      <b/>
      <sz val="10"/>
      <color rgb="FF2C3E50"/>
      <name val="Cairo"/>
    </font>
    <font>
      <b/>
      <sz val="13"/>
      <color rgb="FFFFFFFF"/>
      <name val="Cairo"/>
    </font>
    <font>
      <b/>
      <sz val="12"/>
      <color rgb="FF1A3A5C"/>
      <name val="Cairo"/>
    </font>
    <font>
      <b/>
      <sz val="10"/>
      <color rgb="FFFFFFFF"/>
      <name val="Cairo"/>
    </font>
    <font>
      <b/>
      <sz val="9"/>
      <color rgb="FF1A3A5C"/>
      <name val="Cairo"/>
    </font>
    <font>
      <b/>
      <sz val="11"/>
      <color rgb="FF1A3A5C"/>
      <name val="Cairo"/>
    </font>
    <font>
      <b/>
      <sz val="10"/>
      <color theme="1"/>
      <name val="Cairo"/>
    </font>
    <font>
      <b/>
      <sz val="9"/>
      <color theme="1"/>
      <name val="Cairo"/>
    </font>
    <font>
      <b/>
      <sz val="10"/>
      <color rgb="FF000000"/>
      <name val="Cairo"/>
    </font>
    <font>
      <b/>
      <sz val="14"/>
      <color rgb="FF2E56A5"/>
      <name val="Cairo"/>
    </font>
    <font>
      <b/>
      <sz val="12"/>
      <color rgb="FF2E56A5"/>
      <name val="Cairo"/>
    </font>
    <font>
      <b/>
      <sz val="11"/>
      <color theme="1"/>
      <name val="Cairo"/>
    </font>
  </fonts>
  <fills count="7">
    <fill>
      <patternFill patternType="none"/>
    </fill>
    <fill>
      <patternFill patternType="gray125"/>
    </fill>
    <fill>
      <patternFill patternType="solid">
        <fgColor rgb="FFC8A45A"/>
        <bgColor rgb="FFC8A45A"/>
      </patternFill>
    </fill>
    <fill>
      <patternFill patternType="solid">
        <fgColor rgb="FFF5F3EE"/>
        <bgColor rgb="FFF5F3EE"/>
      </patternFill>
    </fill>
    <fill>
      <patternFill patternType="solid">
        <fgColor rgb="FFFFFFFF"/>
        <bgColor rgb="FFFFFFFF"/>
      </patternFill>
    </fill>
    <fill>
      <patternFill patternType="solid">
        <fgColor rgb="FFF0EDE6"/>
        <bgColor rgb="FFF0EDE6"/>
      </patternFill>
    </fill>
    <fill>
      <patternFill patternType="solid">
        <fgColor rgb="FF2E56A5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7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right" vertical="center"/>
    </xf>
    <xf numFmtId="0" fontId="9" fillId="5" borderId="9" xfId="0" applyFont="1" applyFill="1" applyBorder="1" applyAlignment="1">
      <alignment horizontal="right" vertical="center"/>
    </xf>
    <xf numFmtId="0" fontId="10" fillId="3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right" vertical="center"/>
    </xf>
    <xf numFmtId="0" fontId="8" fillId="5" borderId="0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/>
    <xf numFmtId="0" fontId="0" fillId="6" borderId="9" xfId="0" applyFill="1" applyBorder="1" applyAlignment="1"/>
    <xf numFmtId="0" fontId="0" fillId="6" borderId="2" xfId="0" applyFill="1" applyBorder="1" applyAlignment="1"/>
    <xf numFmtId="0" fontId="0" fillId="6" borderId="3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E56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590550</xdr:colOff>
      <xdr:row>0</xdr:row>
      <xdr:rowOff>180975</xdr:rowOff>
    </xdr:from>
    <xdr:to>
      <xdr:col>11</xdr:col>
      <xdr:colOff>457200</xdr:colOff>
      <xdr:row>2</xdr:row>
      <xdr:rowOff>200025</xdr:rowOff>
    </xdr:to>
    <xdr:pic>
      <xdr:nvPicPr>
        <xdr:cNvPr id="4" name="Picture 3" descr="Picture 5">
          <a:extLst>
            <a:ext uri="{FF2B5EF4-FFF2-40B4-BE49-F238E27FC236}">
              <a16:creationId xmlns:a16="http://schemas.microsoft.com/office/drawing/2014/main" id="{624DEC5A-C4BD-4482-AC5F-787B3753AA97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0523600" y="180975"/>
          <a:ext cx="4143375" cy="571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 editAs="oneCell">
    <xdr:from>
      <xdr:col>0</xdr:col>
      <xdr:colOff>66675</xdr:colOff>
      <xdr:row>0</xdr:row>
      <xdr:rowOff>114300</xdr:rowOff>
    </xdr:from>
    <xdr:to>
      <xdr:col>5</xdr:col>
      <xdr:colOff>533400</xdr:colOff>
      <xdr:row>2</xdr:row>
      <xdr:rowOff>219075</xdr:rowOff>
    </xdr:to>
    <xdr:pic>
      <xdr:nvPicPr>
        <xdr:cNvPr id="5" name="Picture 4" descr="Picture 4">
          <a:extLst>
            <a:ext uri="{FF2B5EF4-FFF2-40B4-BE49-F238E27FC236}">
              <a16:creationId xmlns:a16="http://schemas.microsoft.com/office/drawing/2014/main" id="{46790E6C-7397-48DA-9A4B-AD92ECE53888}"/>
            </a:ext>
            <a:ext uri="{147F2762-F138-4A5C-976F-8EAC2B608ADB}">
              <a16:predDERef xmlns:a16="http://schemas.microsoft.com/office/drawing/2014/main" pred="{624DEC5A-C4BD-4482-AC5F-787B3753A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4724125" y="114300"/>
          <a:ext cx="3867150" cy="6572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8"/>
  <sheetViews>
    <sheetView rightToLeft="1" tabSelected="1" topLeftCell="A71" workbookViewId="0">
      <selection activeCell="B97" sqref="B97:D97"/>
    </sheetView>
  </sheetViews>
  <sheetFormatPr defaultRowHeight="15"/>
  <cols>
    <col min="1" max="1" width="5" customWidth="1"/>
    <col min="2" max="2" width="15" customWidth="1"/>
    <col min="3" max="3" width="8" customWidth="1"/>
    <col min="4" max="4" width="12" customWidth="1"/>
    <col min="5" max="5" width="11" customWidth="1"/>
    <col min="6" max="6" width="10" customWidth="1"/>
    <col min="7" max="7" width="17" customWidth="1"/>
    <col min="8" max="8" width="8" customWidth="1"/>
    <col min="9" max="10" width="10" customWidth="1"/>
  </cols>
  <sheetData>
    <row r="1" spans="1:10" ht="21.95" customHeight="1">
      <c r="A1" s="38"/>
      <c r="B1" s="38"/>
      <c r="C1" s="38"/>
      <c r="D1" s="38"/>
      <c r="E1" s="38"/>
      <c r="F1" s="38"/>
      <c r="G1" s="38"/>
      <c r="H1" s="38"/>
      <c r="I1" s="38"/>
      <c r="J1" s="38"/>
    </row>
    <row r="2" spans="1:10" ht="21.95" customHeight="1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0" ht="21.95" customHeight="1">
      <c r="A3" s="38"/>
      <c r="B3" s="38"/>
      <c r="C3" s="38"/>
      <c r="D3" s="38"/>
      <c r="E3" s="38"/>
      <c r="F3" s="38"/>
      <c r="G3" s="38"/>
      <c r="H3" s="38"/>
      <c r="I3" s="38"/>
      <c r="J3" s="38"/>
    </row>
    <row r="4" spans="1:10" ht="25.5" customHeight="1">
      <c r="A4" s="29" t="s">
        <v>0</v>
      </c>
      <c r="B4" s="38"/>
      <c r="C4" s="38"/>
      <c r="D4" s="38"/>
      <c r="E4" s="38"/>
      <c r="F4" s="38"/>
      <c r="G4" s="38"/>
      <c r="H4" s="38"/>
      <c r="I4" s="38"/>
      <c r="J4" s="38"/>
    </row>
    <row r="5" spans="1:10" ht="24.75" customHeight="1">
      <c r="A5" s="27" t="s">
        <v>1</v>
      </c>
      <c r="B5" s="27" t="s">
        <v>2</v>
      </c>
      <c r="C5" s="28" t="s">
        <v>3</v>
      </c>
      <c r="D5" s="28"/>
      <c r="E5" s="27" t="s">
        <v>4</v>
      </c>
      <c r="F5" s="27" t="s">
        <v>5</v>
      </c>
      <c r="G5" s="27" t="s">
        <v>6</v>
      </c>
      <c r="H5" s="28" t="s">
        <v>7</v>
      </c>
      <c r="I5" s="28"/>
      <c r="J5" s="28"/>
    </row>
    <row r="6" spans="1:10" ht="17.25" customHeight="1">
      <c r="A6" s="6">
        <v>1</v>
      </c>
      <c r="B6" s="6" t="s">
        <v>8</v>
      </c>
      <c r="C6" s="7" t="s">
        <v>9</v>
      </c>
      <c r="D6" s="7"/>
      <c r="E6" s="6" t="s">
        <v>10</v>
      </c>
      <c r="F6" s="6">
        <v>123402</v>
      </c>
      <c r="G6" s="6">
        <v>7</v>
      </c>
      <c r="H6" s="8">
        <v>0</v>
      </c>
      <c r="I6" s="8"/>
      <c r="J6" s="8"/>
    </row>
    <row r="7" spans="1:10" ht="17.25" customHeight="1">
      <c r="A7" s="9">
        <v>2</v>
      </c>
      <c r="B7" s="9" t="s">
        <v>11</v>
      </c>
      <c r="C7" s="10" t="s">
        <v>12</v>
      </c>
      <c r="D7" s="10"/>
      <c r="E7" s="9" t="s">
        <v>13</v>
      </c>
      <c r="F7" s="9">
        <v>343931</v>
      </c>
      <c r="G7" s="9">
        <v>7</v>
      </c>
      <c r="H7" s="11">
        <v>0</v>
      </c>
      <c r="I7" s="11"/>
      <c r="J7" s="11"/>
    </row>
    <row r="8" spans="1:10" ht="17.25" customHeight="1">
      <c r="A8" s="6">
        <v>3</v>
      </c>
      <c r="B8" s="6" t="s">
        <v>14</v>
      </c>
      <c r="C8" s="7" t="s">
        <v>15</v>
      </c>
      <c r="D8" s="7"/>
      <c r="E8" s="6" t="s">
        <v>13</v>
      </c>
      <c r="F8" s="6">
        <v>210886</v>
      </c>
      <c r="G8" s="6">
        <v>7</v>
      </c>
      <c r="H8" s="8">
        <v>0</v>
      </c>
      <c r="I8" s="8"/>
      <c r="J8" s="8"/>
    </row>
    <row r="9" spans="1:10" ht="17.25" customHeight="1">
      <c r="A9" s="9">
        <v>4</v>
      </c>
      <c r="B9" s="9" t="s">
        <v>16</v>
      </c>
      <c r="C9" s="10" t="s">
        <v>17</v>
      </c>
      <c r="D9" s="10"/>
      <c r="E9" s="9" t="s">
        <v>13</v>
      </c>
      <c r="F9" s="9">
        <v>116687</v>
      </c>
      <c r="G9" s="9">
        <v>12</v>
      </c>
      <c r="H9" s="10" t="s">
        <v>18</v>
      </c>
      <c r="I9" s="10"/>
      <c r="J9" s="10"/>
    </row>
    <row r="10" spans="1:10" ht="17.25" customHeight="1">
      <c r="A10" s="6">
        <v>5</v>
      </c>
      <c r="B10" s="6" t="s">
        <v>19</v>
      </c>
      <c r="C10" s="7" t="s">
        <v>20</v>
      </c>
      <c r="D10" s="7"/>
      <c r="E10" s="6" t="s">
        <v>21</v>
      </c>
      <c r="F10" s="6">
        <v>130021</v>
      </c>
      <c r="G10" s="6">
        <v>12</v>
      </c>
      <c r="H10" s="7" t="s">
        <v>18</v>
      </c>
      <c r="I10" s="7"/>
      <c r="J10" s="7"/>
    </row>
    <row r="11" spans="1:10" ht="17.25" customHeight="1">
      <c r="A11" s="9">
        <v>6</v>
      </c>
      <c r="B11" s="9" t="s">
        <v>22</v>
      </c>
      <c r="C11" s="10" t="s">
        <v>23</v>
      </c>
      <c r="D11" s="10"/>
      <c r="E11" s="9" t="s">
        <v>24</v>
      </c>
      <c r="F11" s="9">
        <v>102385</v>
      </c>
      <c r="G11" s="9">
        <v>7</v>
      </c>
      <c r="H11" s="11">
        <v>0</v>
      </c>
      <c r="I11" s="11"/>
      <c r="J11" s="11"/>
    </row>
    <row r="12" spans="1:10" ht="17.25" customHeight="1">
      <c r="A12" s="6">
        <v>7</v>
      </c>
      <c r="B12" s="6" t="s">
        <v>25</v>
      </c>
      <c r="C12" s="7" t="s">
        <v>26</v>
      </c>
      <c r="D12" s="7"/>
      <c r="E12" s="6" t="s">
        <v>27</v>
      </c>
      <c r="F12" s="6">
        <v>126946</v>
      </c>
      <c r="G12" s="6">
        <v>7</v>
      </c>
      <c r="H12" s="7" t="s">
        <v>28</v>
      </c>
      <c r="I12" s="7"/>
      <c r="J12" s="7"/>
    </row>
    <row r="13" spans="1:10" ht="17.25" customHeight="1">
      <c r="A13" s="9">
        <v>8</v>
      </c>
      <c r="B13" s="9" t="s">
        <v>29</v>
      </c>
      <c r="C13" s="10" t="s">
        <v>30</v>
      </c>
      <c r="D13" s="10"/>
      <c r="E13" s="9" t="s">
        <v>27</v>
      </c>
      <c r="F13" s="9">
        <v>122422</v>
      </c>
      <c r="G13" s="9">
        <v>7</v>
      </c>
      <c r="H13" s="11">
        <v>0</v>
      </c>
      <c r="I13" s="11"/>
      <c r="J13" s="11"/>
    </row>
    <row r="14" spans="1:10" ht="17.25" customHeight="1">
      <c r="A14" s="6">
        <v>9</v>
      </c>
      <c r="B14" s="6" t="s">
        <v>31</v>
      </c>
      <c r="C14" s="7" t="s">
        <v>32</v>
      </c>
      <c r="D14" s="7"/>
      <c r="E14" s="6" t="s">
        <v>33</v>
      </c>
      <c r="F14" s="6">
        <v>56607</v>
      </c>
      <c r="G14" s="6">
        <v>15</v>
      </c>
      <c r="H14" s="8">
        <v>0</v>
      </c>
      <c r="I14" s="8"/>
      <c r="J14" s="8"/>
    </row>
    <row r="15" spans="1:10" ht="17.25" customHeight="1">
      <c r="A15" s="9">
        <v>10</v>
      </c>
      <c r="B15" s="9" t="s">
        <v>34</v>
      </c>
      <c r="C15" s="10" t="s">
        <v>35</v>
      </c>
      <c r="D15" s="10"/>
      <c r="E15" s="9" t="s">
        <v>36</v>
      </c>
      <c r="F15" s="9">
        <v>25174</v>
      </c>
      <c r="G15" s="9">
        <v>15</v>
      </c>
      <c r="H15" s="11">
        <v>0</v>
      </c>
      <c r="I15" s="11"/>
      <c r="J15" s="11"/>
    </row>
    <row r="16" spans="1:10" ht="17.25" customHeight="1">
      <c r="A16" s="6">
        <v>11</v>
      </c>
      <c r="B16" s="6" t="s">
        <v>37</v>
      </c>
      <c r="C16" s="7" t="s">
        <v>38</v>
      </c>
      <c r="D16" s="7"/>
      <c r="E16" s="6" t="s">
        <v>39</v>
      </c>
      <c r="F16" s="6">
        <v>319052</v>
      </c>
      <c r="G16" s="6">
        <v>12</v>
      </c>
      <c r="H16" s="7" t="s">
        <v>18</v>
      </c>
      <c r="I16" s="7"/>
      <c r="J16" s="7"/>
    </row>
    <row r="17" spans="1:10" ht="17.25" customHeight="1">
      <c r="A17" s="9">
        <v>12</v>
      </c>
      <c r="B17" s="9" t="s">
        <v>40</v>
      </c>
      <c r="C17" s="10" t="s">
        <v>41</v>
      </c>
      <c r="D17" s="10"/>
      <c r="E17" s="9" t="s">
        <v>42</v>
      </c>
      <c r="F17" s="9">
        <v>718161</v>
      </c>
      <c r="G17" s="9">
        <v>7</v>
      </c>
      <c r="H17" s="10" t="s">
        <v>28</v>
      </c>
      <c r="I17" s="10"/>
      <c r="J17" s="10"/>
    </row>
    <row r="18" spans="1:10" ht="17.25" customHeight="1">
      <c r="A18" s="6">
        <v>13</v>
      </c>
      <c r="B18" s="6" t="s">
        <v>43</v>
      </c>
      <c r="C18" s="7" t="s">
        <v>44</v>
      </c>
      <c r="D18" s="7"/>
      <c r="E18" s="6" t="s">
        <v>45</v>
      </c>
      <c r="F18" s="6">
        <v>141169</v>
      </c>
      <c r="G18" s="6">
        <v>12</v>
      </c>
      <c r="H18" s="7" t="s">
        <v>28</v>
      </c>
      <c r="I18" s="7"/>
      <c r="J18" s="7"/>
    </row>
    <row r="19" spans="1:10" ht="17.25" customHeight="1">
      <c r="A19" s="9">
        <v>14</v>
      </c>
      <c r="B19" s="9" t="s">
        <v>46</v>
      </c>
      <c r="C19" s="10" t="s">
        <v>47</v>
      </c>
      <c r="D19" s="10"/>
      <c r="E19" s="9" t="s">
        <v>48</v>
      </c>
      <c r="F19" s="9">
        <v>150971</v>
      </c>
      <c r="G19" s="9">
        <v>7</v>
      </c>
      <c r="H19" s="10" t="s">
        <v>28</v>
      </c>
      <c r="I19" s="10"/>
      <c r="J19" s="10"/>
    </row>
    <row r="20" spans="1:10" ht="17.25" customHeight="1">
      <c r="A20" s="6">
        <v>15</v>
      </c>
      <c r="B20" s="6" t="s">
        <v>49</v>
      </c>
      <c r="C20" s="7" t="s">
        <v>50</v>
      </c>
      <c r="D20" s="7"/>
      <c r="E20" s="6" t="s">
        <v>48</v>
      </c>
      <c r="F20" s="6">
        <v>39867</v>
      </c>
      <c r="G20" s="6">
        <v>12</v>
      </c>
      <c r="H20" s="8">
        <v>0</v>
      </c>
      <c r="I20" s="8"/>
      <c r="J20" s="8"/>
    </row>
    <row r="21" spans="1:10" ht="17.25" customHeight="1">
      <c r="A21" s="9">
        <v>16</v>
      </c>
      <c r="B21" s="9" t="s">
        <v>51</v>
      </c>
      <c r="C21" s="10" t="s">
        <v>52</v>
      </c>
      <c r="D21" s="10"/>
      <c r="E21" s="9" t="s">
        <v>48</v>
      </c>
      <c r="F21" s="9">
        <v>37237</v>
      </c>
      <c r="G21" s="9">
        <v>12</v>
      </c>
      <c r="H21" s="11">
        <v>0</v>
      </c>
      <c r="I21" s="11"/>
      <c r="J21" s="11"/>
    </row>
    <row r="22" spans="1:10" ht="17.25" customHeight="1">
      <c r="A22" s="6">
        <v>17</v>
      </c>
      <c r="B22" s="6" t="s">
        <v>53</v>
      </c>
      <c r="C22" s="7" t="s">
        <v>54</v>
      </c>
      <c r="D22" s="7"/>
      <c r="E22" s="6" t="s">
        <v>55</v>
      </c>
      <c r="F22" s="6">
        <v>694544</v>
      </c>
      <c r="G22" s="6">
        <v>7</v>
      </c>
      <c r="H22" s="8">
        <v>0</v>
      </c>
      <c r="I22" s="8"/>
      <c r="J22" s="8"/>
    </row>
    <row r="23" spans="1:10" ht="17.25" customHeight="1">
      <c r="A23" s="9">
        <v>18</v>
      </c>
      <c r="B23" s="9" t="s">
        <v>56</v>
      </c>
      <c r="C23" s="10" t="s">
        <v>57</v>
      </c>
      <c r="D23" s="10"/>
      <c r="E23" s="9" t="s">
        <v>55</v>
      </c>
      <c r="F23" s="9">
        <v>54419</v>
      </c>
      <c r="G23" s="9">
        <v>15</v>
      </c>
      <c r="H23" s="11">
        <v>0</v>
      </c>
      <c r="I23" s="11"/>
      <c r="J23" s="11"/>
    </row>
    <row r="24" spans="1:10" ht="17.25" customHeight="1">
      <c r="A24" s="6">
        <v>19</v>
      </c>
      <c r="B24" s="6" t="s">
        <v>58</v>
      </c>
      <c r="C24" s="7" t="s">
        <v>59</v>
      </c>
      <c r="D24" s="7"/>
      <c r="E24" s="6" t="s">
        <v>55</v>
      </c>
      <c r="F24" s="6">
        <v>104005</v>
      </c>
      <c r="G24" s="6">
        <v>15</v>
      </c>
      <c r="H24" s="8">
        <v>0</v>
      </c>
      <c r="I24" s="8"/>
      <c r="J24" s="8"/>
    </row>
    <row r="25" spans="1:10" ht="17.25" customHeight="1">
      <c r="A25" s="9">
        <v>20</v>
      </c>
      <c r="B25" s="9" t="s">
        <v>60</v>
      </c>
      <c r="C25" s="10" t="s">
        <v>61</v>
      </c>
      <c r="D25" s="10"/>
      <c r="E25" s="9" t="s">
        <v>62</v>
      </c>
      <c r="F25" s="9">
        <v>207192</v>
      </c>
      <c r="G25" s="9">
        <v>12</v>
      </c>
      <c r="H25" s="10" t="s">
        <v>63</v>
      </c>
      <c r="I25" s="10"/>
      <c r="J25" s="10"/>
    </row>
    <row r="26" spans="1:10" ht="17.25" customHeight="1">
      <c r="A26" s="6">
        <v>21</v>
      </c>
      <c r="B26" s="6" t="s">
        <v>64</v>
      </c>
      <c r="C26" s="7" t="s">
        <v>65</v>
      </c>
      <c r="D26" s="7"/>
      <c r="E26" s="6" t="s">
        <v>62</v>
      </c>
      <c r="F26" s="6">
        <v>33686</v>
      </c>
      <c r="G26" s="6">
        <v>15</v>
      </c>
      <c r="H26" s="8">
        <v>0</v>
      </c>
      <c r="I26" s="8"/>
      <c r="J26" s="8"/>
    </row>
    <row r="27" spans="1:10" ht="17.25" customHeight="1">
      <c r="A27" s="9">
        <v>22</v>
      </c>
      <c r="B27" s="9" t="s">
        <v>66</v>
      </c>
      <c r="C27" s="10" t="s">
        <v>67</v>
      </c>
      <c r="D27" s="10"/>
      <c r="E27" s="9" t="s">
        <v>68</v>
      </c>
      <c r="F27" s="9">
        <v>537158</v>
      </c>
      <c r="G27" s="9">
        <v>7</v>
      </c>
      <c r="H27" s="11">
        <v>0</v>
      </c>
      <c r="I27" s="11"/>
      <c r="J27" s="11"/>
    </row>
    <row r="28" spans="1:10" ht="17.25" customHeight="1">
      <c r="A28" s="6">
        <v>23</v>
      </c>
      <c r="B28" s="6" t="s">
        <v>69</v>
      </c>
      <c r="C28" s="7" t="s">
        <v>70</v>
      </c>
      <c r="D28" s="7"/>
      <c r="E28" s="6" t="s">
        <v>68</v>
      </c>
      <c r="F28" s="6">
        <v>338064</v>
      </c>
      <c r="G28" s="6">
        <v>12</v>
      </c>
      <c r="H28" s="7" t="s">
        <v>18</v>
      </c>
      <c r="I28" s="7"/>
      <c r="J28" s="7"/>
    </row>
    <row r="29" spans="1:10" ht="17.25" customHeight="1">
      <c r="A29" s="9">
        <v>24</v>
      </c>
      <c r="B29" s="9" t="s">
        <v>71</v>
      </c>
      <c r="C29" s="10" t="s">
        <v>72</v>
      </c>
      <c r="D29" s="10"/>
      <c r="E29" s="9" t="s">
        <v>68</v>
      </c>
      <c r="F29" s="9">
        <v>96519</v>
      </c>
      <c r="G29" s="9">
        <v>15</v>
      </c>
      <c r="H29" s="10" t="s">
        <v>28</v>
      </c>
      <c r="I29" s="10"/>
      <c r="J29" s="10"/>
    </row>
    <row r="30" spans="1:10" ht="17.25" customHeight="1">
      <c r="A30" s="6">
        <v>25</v>
      </c>
      <c r="B30" s="6" t="s">
        <v>73</v>
      </c>
      <c r="C30" s="7" t="s">
        <v>74</v>
      </c>
      <c r="D30" s="7"/>
      <c r="E30" s="6" t="s">
        <v>75</v>
      </c>
      <c r="F30" s="6">
        <v>161847</v>
      </c>
      <c r="G30" s="6">
        <v>12</v>
      </c>
      <c r="H30" s="7" t="s">
        <v>28</v>
      </c>
      <c r="I30" s="7"/>
      <c r="J30" s="7"/>
    </row>
    <row r="31" spans="1:10" ht="17.25" customHeight="1">
      <c r="A31" s="9">
        <v>26</v>
      </c>
      <c r="B31" s="9" t="s">
        <v>76</v>
      </c>
      <c r="C31" s="10" t="s">
        <v>77</v>
      </c>
      <c r="D31" s="10"/>
      <c r="E31" s="9" t="s">
        <v>78</v>
      </c>
      <c r="F31" s="9">
        <v>106127</v>
      </c>
      <c r="G31" s="9">
        <v>15</v>
      </c>
      <c r="H31" s="11">
        <v>0</v>
      </c>
      <c r="I31" s="11"/>
      <c r="J31" s="11"/>
    </row>
    <row r="32" spans="1:10" ht="17.25" customHeight="1">
      <c r="A32" s="6">
        <v>27</v>
      </c>
      <c r="B32" s="6" t="s">
        <v>79</v>
      </c>
      <c r="C32" s="7" t="s">
        <v>80</v>
      </c>
      <c r="D32" s="7"/>
      <c r="E32" s="6" t="s">
        <v>81</v>
      </c>
      <c r="F32" s="6">
        <v>176033</v>
      </c>
      <c r="G32" s="6">
        <v>12</v>
      </c>
      <c r="H32" s="8">
        <v>0</v>
      </c>
      <c r="I32" s="8"/>
      <c r="J32" s="8"/>
    </row>
    <row r="33" spans="1:10" ht="17.25" customHeight="1">
      <c r="A33" s="9">
        <v>28</v>
      </c>
      <c r="B33" s="9" t="s">
        <v>25</v>
      </c>
      <c r="C33" s="10" t="s">
        <v>82</v>
      </c>
      <c r="D33" s="10"/>
      <c r="E33" s="9" t="s">
        <v>83</v>
      </c>
      <c r="F33" s="9" t="s">
        <v>84</v>
      </c>
      <c r="G33" s="9">
        <v>7</v>
      </c>
      <c r="H33" s="10" t="s">
        <v>18</v>
      </c>
      <c r="I33" s="10"/>
      <c r="J33" s="10"/>
    </row>
    <row r="34" spans="1:10" ht="17.25" customHeight="1">
      <c r="A34" s="6">
        <v>29</v>
      </c>
      <c r="B34" s="6" t="s">
        <v>85</v>
      </c>
      <c r="C34" s="7" t="s">
        <v>86</v>
      </c>
      <c r="D34" s="7"/>
      <c r="E34" s="6" t="s">
        <v>87</v>
      </c>
      <c r="F34" s="6">
        <v>596000</v>
      </c>
      <c r="G34" s="6">
        <v>7</v>
      </c>
      <c r="H34" s="8">
        <v>0</v>
      </c>
      <c r="I34" s="8"/>
      <c r="J34" s="8"/>
    </row>
    <row r="35" spans="1:10" ht="17.25" customHeight="1">
      <c r="A35" s="9">
        <v>30</v>
      </c>
      <c r="B35" s="9" t="s">
        <v>88</v>
      </c>
      <c r="C35" s="10" t="s">
        <v>89</v>
      </c>
      <c r="D35" s="10"/>
      <c r="E35" s="9" t="s">
        <v>87</v>
      </c>
      <c r="F35" s="9">
        <v>79332</v>
      </c>
      <c r="G35" s="9">
        <v>15</v>
      </c>
      <c r="H35" s="11">
        <v>0</v>
      </c>
      <c r="I35" s="11"/>
      <c r="J35" s="11"/>
    </row>
    <row r="36" spans="1:10" ht="17.25" customHeight="1">
      <c r="A36" s="6">
        <v>31</v>
      </c>
      <c r="B36" s="6" t="s">
        <v>90</v>
      </c>
      <c r="C36" s="7" t="s">
        <v>91</v>
      </c>
      <c r="D36" s="7"/>
      <c r="E36" s="6" t="s">
        <v>92</v>
      </c>
      <c r="F36" s="6">
        <v>476697</v>
      </c>
      <c r="G36" s="6">
        <v>15</v>
      </c>
      <c r="H36" s="7" t="s">
        <v>28</v>
      </c>
      <c r="I36" s="7"/>
      <c r="J36" s="7"/>
    </row>
    <row r="37" spans="1:10" ht="17.25" customHeight="1">
      <c r="A37" s="9">
        <v>32</v>
      </c>
      <c r="B37" s="9" t="s">
        <v>93</v>
      </c>
      <c r="C37" s="10" t="s">
        <v>94</v>
      </c>
      <c r="D37" s="10"/>
      <c r="E37" s="9" t="s">
        <v>92</v>
      </c>
      <c r="F37" s="9">
        <v>213070</v>
      </c>
      <c r="G37" s="9">
        <v>12</v>
      </c>
      <c r="H37" s="11">
        <v>0</v>
      </c>
      <c r="I37" s="11"/>
      <c r="J37" s="11"/>
    </row>
    <row r="38" spans="1:10" ht="17.25" customHeight="1">
      <c r="A38" s="6">
        <v>33</v>
      </c>
      <c r="B38" s="6" t="s">
        <v>34</v>
      </c>
      <c r="C38" s="7" t="s">
        <v>95</v>
      </c>
      <c r="D38" s="7"/>
      <c r="E38" s="6" t="s">
        <v>96</v>
      </c>
      <c r="F38" s="6">
        <v>30420</v>
      </c>
      <c r="G38" s="6">
        <v>15</v>
      </c>
      <c r="H38" s="8">
        <v>0</v>
      </c>
      <c r="I38" s="8"/>
      <c r="J38" s="8"/>
    </row>
    <row r="39" spans="1:10" ht="17.25" customHeight="1">
      <c r="A39" s="9">
        <v>34</v>
      </c>
      <c r="B39" s="9" t="s">
        <v>97</v>
      </c>
      <c r="C39" s="10" t="s">
        <v>17</v>
      </c>
      <c r="D39" s="10"/>
      <c r="E39" s="9" t="s">
        <v>96</v>
      </c>
      <c r="F39" s="9">
        <v>97217</v>
      </c>
      <c r="G39" s="9">
        <v>7</v>
      </c>
      <c r="H39" s="11">
        <v>0</v>
      </c>
      <c r="I39" s="11"/>
      <c r="J39" s="11"/>
    </row>
    <row r="40" spans="1:10" ht="17.25" customHeight="1">
      <c r="A40" s="6">
        <v>35</v>
      </c>
      <c r="B40" s="6" t="s">
        <v>19</v>
      </c>
      <c r="C40" s="7" t="s">
        <v>20</v>
      </c>
      <c r="D40" s="7"/>
      <c r="E40" s="6" t="s">
        <v>96</v>
      </c>
      <c r="F40" s="6">
        <v>134468</v>
      </c>
      <c r="G40" s="6">
        <v>12</v>
      </c>
      <c r="H40" s="7" t="s">
        <v>28</v>
      </c>
      <c r="I40" s="7"/>
      <c r="J40" s="7"/>
    </row>
    <row r="41" spans="1:10" ht="17.25" customHeight="1">
      <c r="A41" s="9">
        <v>36</v>
      </c>
      <c r="B41" s="9" t="s">
        <v>98</v>
      </c>
      <c r="C41" s="10" t="s">
        <v>99</v>
      </c>
      <c r="D41" s="10"/>
      <c r="E41" s="9" t="s">
        <v>100</v>
      </c>
      <c r="F41" s="9">
        <v>591254</v>
      </c>
      <c r="G41" s="9">
        <v>15</v>
      </c>
      <c r="H41" s="11">
        <v>0</v>
      </c>
      <c r="I41" s="11"/>
      <c r="J41" s="11"/>
    </row>
    <row r="42" spans="1:10" ht="17.25" customHeight="1">
      <c r="A42" s="6">
        <v>37</v>
      </c>
      <c r="B42" s="6" t="s">
        <v>16</v>
      </c>
      <c r="C42" s="7" t="s">
        <v>101</v>
      </c>
      <c r="D42" s="7"/>
      <c r="E42" s="6" t="s">
        <v>102</v>
      </c>
      <c r="F42" s="6">
        <v>121994</v>
      </c>
      <c r="G42" s="6">
        <v>12</v>
      </c>
      <c r="H42" s="8">
        <v>0</v>
      </c>
      <c r="I42" s="8"/>
      <c r="J42" s="8"/>
    </row>
    <row r="43" spans="1:10" ht="17.25" customHeight="1">
      <c r="A43" s="9">
        <v>38</v>
      </c>
      <c r="B43" s="9" t="s">
        <v>103</v>
      </c>
      <c r="C43" s="10" t="s">
        <v>104</v>
      </c>
      <c r="D43" s="10"/>
      <c r="E43" s="9" t="s">
        <v>102</v>
      </c>
      <c r="F43" s="9">
        <v>340474</v>
      </c>
      <c r="G43" s="9">
        <v>15</v>
      </c>
      <c r="H43" s="10" t="s">
        <v>28</v>
      </c>
      <c r="I43" s="10"/>
      <c r="J43" s="10"/>
    </row>
    <row r="44" spans="1:10" ht="17.25" customHeight="1">
      <c r="A44" s="6">
        <v>39</v>
      </c>
      <c r="B44" s="6" t="s">
        <v>105</v>
      </c>
      <c r="C44" s="7" t="s">
        <v>101</v>
      </c>
      <c r="D44" s="7"/>
      <c r="E44" s="6" t="s">
        <v>106</v>
      </c>
      <c r="F44" s="6">
        <v>220976</v>
      </c>
      <c r="G44" s="6">
        <v>7</v>
      </c>
      <c r="H44" s="8">
        <v>0</v>
      </c>
      <c r="I44" s="8"/>
      <c r="J44" s="8"/>
    </row>
    <row r="45" spans="1:10" ht="17.25" customHeight="1">
      <c r="A45" s="9">
        <v>40</v>
      </c>
      <c r="B45" s="9" t="s">
        <v>107</v>
      </c>
      <c r="C45" s="10" t="s">
        <v>108</v>
      </c>
      <c r="D45" s="10"/>
      <c r="E45" s="9" t="s">
        <v>109</v>
      </c>
      <c r="F45" s="9">
        <v>453407</v>
      </c>
      <c r="G45" s="9">
        <v>7</v>
      </c>
      <c r="H45" s="11">
        <v>0</v>
      </c>
      <c r="I45" s="11"/>
      <c r="J45" s="11"/>
    </row>
    <row r="46" spans="1:10" ht="17.25" customHeight="1">
      <c r="A46" s="6">
        <v>41</v>
      </c>
      <c r="B46" s="6" t="s">
        <v>49</v>
      </c>
      <c r="C46" s="7" t="s">
        <v>110</v>
      </c>
      <c r="D46" s="7"/>
      <c r="E46" s="6" t="s">
        <v>111</v>
      </c>
      <c r="F46" s="6">
        <v>45058</v>
      </c>
      <c r="G46" s="6">
        <v>12</v>
      </c>
      <c r="H46" s="7" t="s">
        <v>28</v>
      </c>
      <c r="I46" s="7"/>
      <c r="J46" s="7"/>
    </row>
    <row r="47" spans="1:10" ht="17.25" customHeight="1">
      <c r="A47" s="9">
        <v>42</v>
      </c>
      <c r="B47" s="9" t="s">
        <v>112</v>
      </c>
      <c r="C47" s="10" t="s">
        <v>113</v>
      </c>
      <c r="D47" s="10"/>
      <c r="E47" s="9" t="s">
        <v>114</v>
      </c>
      <c r="F47" s="9">
        <v>217240</v>
      </c>
      <c r="G47" s="9">
        <v>12</v>
      </c>
      <c r="H47" s="11">
        <v>0</v>
      </c>
      <c r="I47" s="11"/>
      <c r="J47" s="11"/>
    </row>
    <row r="48" spans="1:10" ht="17.25" customHeight="1">
      <c r="A48" s="6">
        <v>43</v>
      </c>
      <c r="B48" s="6" t="s">
        <v>115</v>
      </c>
      <c r="C48" s="7" t="s">
        <v>116</v>
      </c>
      <c r="D48" s="7"/>
      <c r="E48" s="6" t="s">
        <v>114</v>
      </c>
      <c r="F48" s="6">
        <v>152697</v>
      </c>
      <c r="G48" s="6">
        <v>12</v>
      </c>
      <c r="H48" s="8">
        <v>0</v>
      </c>
      <c r="I48" s="8"/>
      <c r="J48" s="8"/>
    </row>
    <row r="49" spans="1:10" ht="17.25" customHeight="1">
      <c r="A49" s="9">
        <v>44</v>
      </c>
      <c r="B49" s="9" t="s">
        <v>117</v>
      </c>
      <c r="C49" s="10" t="s">
        <v>118</v>
      </c>
      <c r="D49" s="10"/>
      <c r="E49" s="9" t="s">
        <v>119</v>
      </c>
      <c r="F49" s="9">
        <v>373680</v>
      </c>
      <c r="G49" s="9">
        <v>15</v>
      </c>
      <c r="H49" s="11">
        <v>0</v>
      </c>
      <c r="I49" s="11"/>
      <c r="J49" s="11"/>
    </row>
    <row r="50" spans="1:10" ht="17.25" customHeight="1">
      <c r="A50" s="6">
        <v>45</v>
      </c>
      <c r="B50" s="6" t="s">
        <v>40</v>
      </c>
      <c r="C50" s="7" t="s">
        <v>41</v>
      </c>
      <c r="D50" s="7"/>
      <c r="E50" s="6" t="s">
        <v>120</v>
      </c>
      <c r="F50" s="6">
        <v>723125</v>
      </c>
      <c r="G50" s="6">
        <v>7</v>
      </c>
      <c r="H50" s="8">
        <v>0</v>
      </c>
      <c r="I50" s="8"/>
      <c r="J50" s="8"/>
    </row>
    <row r="51" spans="1:10" ht="17.25" customHeight="1">
      <c r="A51" s="9">
        <v>46</v>
      </c>
      <c r="B51" s="9" t="s">
        <v>8</v>
      </c>
      <c r="C51" s="10" t="s">
        <v>9</v>
      </c>
      <c r="D51" s="10"/>
      <c r="E51" s="9" t="s">
        <v>121</v>
      </c>
      <c r="F51" s="9">
        <v>129089</v>
      </c>
      <c r="G51" s="9">
        <v>7</v>
      </c>
      <c r="H51" s="11">
        <v>0</v>
      </c>
      <c r="I51" s="11"/>
      <c r="J51" s="11"/>
    </row>
    <row r="52" spans="1:10" ht="17.25" customHeight="1">
      <c r="A52" s="6">
        <v>47</v>
      </c>
      <c r="B52" s="6" t="s">
        <v>122</v>
      </c>
      <c r="C52" s="7" t="s">
        <v>123</v>
      </c>
      <c r="D52" s="7"/>
      <c r="E52" s="6" t="s">
        <v>121</v>
      </c>
      <c r="F52" s="6">
        <v>118161</v>
      </c>
      <c r="G52" s="6">
        <v>7</v>
      </c>
      <c r="H52" s="8">
        <v>0</v>
      </c>
      <c r="I52" s="8"/>
      <c r="J52" s="8"/>
    </row>
    <row r="53" spans="1:10" ht="17.25" customHeight="1">
      <c r="A53" s="9">
        <v>48</v>
      </c>
      <c r="B53" s="9" t="s">
        <v>69</v>
      </c>
      <c r="C53" s="10" t="s">
        <v>70</v>
      </c>
      <c r="D53" s="10"/>
      <c r="E53" s="9" t="s">
        <v>124</v>
      </c>
      <c r="F53" s="9">
        <v>344134</v>
      </c>
      <c r="G53" s="9">
        <v>12</v>
      </c>
      <c r="H53" s="11">
        <v>0</v>
      </c>
      <c r="I53" s="11"/>
      <c r="J53" s="11"/>
    </row>
    <row r="54" spans="1:10" ht="17.25" customHeight="1">
      <c r="A54" s="6">
        <v>49</v>
      </c>
      <c r="B54" s="6" t="s">
        <v>11</v>
      </c>
      <c r="C54" s="7" t="s">
        <v>125</v>
      </c>
      <c r="D54" s="7"/>
      <c r="E54" s="6" t="s">
        <v>124</v>
      </c>
      <c r="F54" s="6">
        <v>351129</v>
      </c>
      <c r="G54" s="6">
        <v>7</v>
      </c>
      <c r="H54" s="8">
        <v>0</v>
      </c>
      <c r="I54" s="8"/>
      <c r="J54" s="8"/>
    </row>
    <row r="55" spans="1:10" ht="17.25" customHeight="1">
      <c r="A55" s="9">
        <v>50</v>
      </c>
      <c r="B55" s="9" t="s">
        <v>73</v>
      </c>
      <c r="C55" s="10" t="s">
        <v>74</v>
      </c>
      <c r="D55" s="10"/>
      <c r="E55" s="9" t="s">
        <v>124</v>
      </c>
      <c r="F55" s="9">
        <v>166994</v>
      </c>
      <c r="G55" s="9">
        <v>12</v>
      </c>
      <c r="H55" s="11">
        <v>0</v>
      </c>
      <c r="I55" s="11"/>
      <c r="J55" s="11"/>
    </row>
    <row r="56" spans="1:10" ht="17.25" customHeight="1">
      <c r="A56" s="6">
        <v>51</v>
      </c>
      <c r="B56" s="6" t="s">
        <v>53</v>
      </c>
      <c r="C56" s="7" t="s">
        <v>126</v>
      </c>
      <c r="D56" s="7"/>
      <c r="E56" s="6" t="s">
        <v>127</v>
      </c>
      <c r="F56" s="6">
        <v>700040</v>
      </c>
      <c r="G56" s="6">
        <v>7</v>
      </c>
      <c r="H56" s="7" t="s">
        <v>28</v>
      </c>
      <c r="I56" s="7"/>
      <c r="J56" s="7"/>
    </row>
    <row r="57" spans="1:10" ht="17.25" customHeight="1">
      <c r="A57" s="9">
        <v>52</v>
      </c>
      <c r="B57" s="9" t="s">
        <v>31</v>
      </c>
      <c r="C57" s="10" t="s">
        <v>128</v>
      </c>
      <c r="D57" s="10"/>
      <c r="E57" s="9" t="s">
        <v>127</v>
      </c>
      <c r="F57" s="9">
        <v>63040</v>
      </c>
      <c r="G57" s="9">
        <v>15</v>
      </c>
      <c r="H57" s="11">
        <v>0</v>
      </c>
      <c r="I57" s="11"/>
      <c r="J57" s="11"/>
    </row>
    <row r="58" spans="1:10" ht="17.25" customHeight="1">
      <c r="A58" s="6">
        <v>53</v>
      </c>
      <c r="B58" s="6" t="s">
        <v>56</v>
      </c>
      <c r="C58" s="7" t="s">
        <v>38</v>
      </c>
      <c r="D58" s="7"/>
      <c r="E58" s="6" t="s">
        <v>129</v>
      </c>
      <c r="F58" s="6">
        <v>62728</v>
      </c>
      <c r="G58" s="6">
        <v>15</v>
      </c>
      <c r="H58" s="8">
        <v>0</v>
      </c>
      <c r="I58" s="8"/>
      <c r="J58" s="8"/>
    </row>
    <row r="59" spans="1:10" ht="17.25" customHeight="1">
      <c r="A59" s="9">
        <v>54</v>
      </c>
      <c r="B59" s="9" t="s">
        <v>14</v>
      </c>
      <c r="C59" s="10" t="s">
        <v>130</v>
      </c>
      <c r="D59" s="10"/>
      <c r="E59" s="9" t="s">
        <v>129</v>
      </c>
      <c r="F59" s="9">
        <v>215939</v>
      </c>
      <c r="G59" s="9">
        <v>7</v>
      </c>
      <c r="H59" s="11">
        <v>0</v>
      </c>
      <c r="I59" s="11"/>
      <c r="J59" s="11"/>
    </row>
    <row r="60" spans="1:10" ht="17.25" customHeight="1">
      <c r="A60" s="6">
        <v>55</v>
      </c>
      <c r="B60" s="6" t="s">
        <v>58</v>
      </c>
      <c r="C60" s="7" t="s">
        <v>131</v>
      </c>
      <c r="D60" s="7"/>
      <c r="E60" s="6" t="s">
        <v>132</v>
      </c>
      <c r="F60" s="6">
        <v>109267</v>
      </c>
      <c r="G60" s="6">
        <v>15</v>
      </c>
      <c r="H60" s="8">
        <v>0</v>
      </c>
      <c r="I60" s="8"/>
      <c r="J60" s="8"/>
    </row>
    <row r="61" spans="1:10" ht="17.25" customHeight="1">
      <c r="A61" s="9">
        <v>56</v>
      </c>
      <c r="B61" s="9" t="s">
        <v>133</v>
      </c>
      <c r="C61" s="10" t="s">
        <v>134</v>
      </c>
      <c r="D61" s="10"/>
      <c r="E61" s="9" t="s">
        <v>135</v>
      </c>
      <c r="F61" s="9">
        <v>81843</v>
      </c>
      <c r="G61" s="9">
        <v>12</v>
      </c>
      <c r="H61" s="11">
        <v>0</v>
      </c>
      <c r="I61" s="11"/>
      <c r="J61" s="11"/>
    </row>
    <row r="62" spans="1:10" ht="17.25" customHeight="1">
      <c r="A62" s="6">
        <v>57</v>
      </c>
      <c r="B62" s="6" t="s">
        <v>25</v>
      </c>
      <c r="C62" s="7" t="s">
        <v>136</v>
      </c>
      <c r="D62" s="7"/>
      <c r="E62" s="6" t="s">
        <v>135</v>
      </c>
      <c r="F62" s="6">
        <v>138540</v>
      </c>
      <c r="G62" s="6">
        <v>7</v>
      </c>
      <c r="H62" s="8">
        <v>0</v>
      </c>
      <c r="I62" s="8"/>
      <c r="J62" s="8"/>
    </row>
    <row r="63" spans="1:10" ht="20.25" customHeight="1">
      <c r="A63" s="3" t="s">
        <v>137</v>
      </c>
      <c r="B63" s="38"/>
      <c r="C63" s="38"/>
      <c r="D63" s="38"/>
      <c r="E63" s="38"/>
      <c r="F63" s="38"/>
      <c r="G63" s="38"/>
      <c r="H63" s="38"/>
      <c r="I63" s="38"/>
      <c r="J63" s="38"/>
    </row>
    <row r="64" spans="1:10" ht="8.1" customHeight="1"/>
    <row r="65" spans="1:10" ht="14.25" customHeight="1">
      <c r="A65" s="33" t="s">
        <v>138</v>
      </c>
      <c r="B65" s="38"/>
      <c r="C65" s="38"/>
      <c r="D65" s="38"/>
      <c r="E65" s="38"/>
      <c r="F65" s="38"/>
      <c r="G65" s="38"/>
      <c r="H65" s="38"/>
      <c r="I65" s="38"/>
      <c r="J65" s="38"/>
    </row>
    <row r="66" spans="1:10" ht="14.25" customHeight="1">
      <c r="A66" s="16" t="s">
        <v>139</v>
      </c>
      <c r="B66" s="38"/>
      <c r="C66" s="38"/>
      <c r="D66" s="38"/>
      <c r="E66" s="38"/>
      <c r="F66" s="38"/>
      <c r="G66" s="38"/>
      <c r="H66" s="38"/>
      <c r="I66" s="38"/>
      <c r="J66" s="38"/>
    </row>
    <row r="67" spans="1:10" ht="17.25" customHeight="1">
      <c r="A67" s="31" t="s">
        <v>140</v>
      </c>
      <c r="B67" s="39"/>
      <c r="C67" s="39"/>
      <c r="D67" s="39"/>
      <c r="E67" s="39"/>
      <c r="F67" s="39"/>
      <c r="G67" s="39"/>
      <c r="H67" s="39"/>
      <c r="I67" s="39"/>
      <c r="J67" s="39"/>
    </row>
    <row r="68" spans="1:10" ht="13.5" customHeight="1">
      <c r="A68" s="32" t="s">
        <v>1</v>
      </c>
      <c r="B68" s="32" t="s">
        <v>141</v>
      </c>
      <c r="C68" s="32" t="s">
        <v>142</v>
      </c>
      <c r="D68" s="32" t="s">
        <v>143</v>
      </c>
      <c r="E68" s="32" t="s">
        <v>144</v>
      </c>
      <c r="F68" s="32" t="s">
        <v>1</v>
      </c>
      <c r="G68" s="32" t="s">
        <v>141</v>
      </c>
      <c r="H68" s="32" t="s">
        <v>142</v>
      </c>
      <c r="I68" s="32" t="s">
        <v>143</v>
      </c>
      <c r="J68" s="32" t="s">
        <v>144</v>
      </c>
    </row>
    <row r="69" spans="1:10" ht="15" customHeight="1">
      <c r="A69" s="4">
        <v>1</v>
      </c>
      <c r="B69" s="14" t="s">
        <v>145</v>
      </c>
      <c r="C69" s="6">
        <v>8</v>
      </c>
      <c r="D69" s="6">
        <v>2</v>
      </c>
      <c r="E69" s="6">
        <f>6</f>
        <v>6</v>
      </c>
      <c r="F69" s="12">
        <v>19</v>
      </c>
      <c r="G69" s="14" t="s">
        <v>146</v>
      </c>
      <c r="H69" s="6">
        <v>1</v>
      </c>
      <c r="I69" s="6">
        <v>0</v>
      </c>
      <c r="J69" s="6">
        <f>1</f>
        <v>1</v>
      </c>
    </row>
    <row r="70" spans="1:10" ht="15" customHeight="1">
      <c r="A70" s="5">
        <v>2</v>
      </c>
      <c r="B70" s="15" t="s">
        <v>147</v>
      </c>
      <c r="C70" s="9">
        <v>22</v>
      </c>
      <c r="D70" s="9">
        <v>4</v>
      </c>
      <c r="E70" s="9">
        <f>18</f>
        <v>18</v>
      </c>
      <c r="F70" s="13">
        <v>20</v>
      </c>
      <c r="G70" s="15" t="s">
        <v>148</v>
      </c>
      <c r="H70" s="9">
        <v>1</v>
      </c>
      <c r="I70" s="9">
        <v>0</v>
      </c>
      <c r="J70" s="9">
        <f>1</f>
        <v>1</v>
      </c>
    </row>
    <row r="71" spans="1:10" ht="15" customHeight="1">
      <c r="A71" s="4">
        <v>3</v>
      </c>
      <c r="B71" s="14" t="s">
        <v>149</v>
      </c>
      <c r="C71" s="6">
        <v>12</v>
      </c>
      <c r="D71" s="6">
        <v>1</v>
      </c>
      <c r="E71" s="6">
        <f>11</f>
        <v>11</v>
      </c>
      <c r="F71" s="12">
        <v>21</v>
      </c>
      <c r="G71" s="14" t="s">
        <v>150</v>
      </c>
      <c r="H71" s="6">
        <v>1</v>
      </c>
      <c r="I71" s="6">
        <v>0</v>
      </c>
      <c r="J71" s="6">
        <f>1</f>
        <v>1</v>
      </c>
    </row>
    <row r="72" spans="1:10" ht="15" customHeight="1">
      <c r="A72" s="5">
        <v>4</v>
      </c>
      <c r="B72" s="15" t="s">
        <v>151</v>
      </c>
      <c r="C72" s="9">
        <v>9</v>
      </c>
      <c r="D72" s="9">
        <v>0</v>
      </c>
      <c r="E72" s="9">
        <f>9</f>
        <v>9</v>
      </c>
      <c r="F72" s="13">
        <v>22</v>
      </c>
      <c r="G72" s="15" t="s">
        <v>152</v>
      </c>
      <c r="H72" s="9">
        <v>2</v>
      </c>
      <c r="I72" s="9">
        <v>0</v>
      </c>
      <c r="J72" s="9">
        <f>2</f>
        <v>2</v>
      </c>
    </row>
    <row r="73" spans="1:10" ht="15" customHeight="1">
      <c r="A73" s="4">
        <v>5</v>
      </c>
      <c r="B73" s="14" t="s">
        <v>153</v>
      </c>
      <c r="C73" s="6">
        <v>24</v>
      </c>
      <c r="D73" s="6">
        <v>4</v>
      </c>
      <c r="E73" s="6">
        <f>20</f>
        <v>20</v>
      </c>
      <c r="F73" s="12">
        <v>23</v>
      </c>
      <c r="G73" s="14" t="s">
        <v>154</v>
      </c>
      <c r="H73" s="6">
        <v>1</v>
      </c>
      <c r="I73" s="6">
        <v>0</v>
      </c>
      <c r="J73" s="6">
        <f>1</f>
        <v>1</v>
      </c>
    </row>
    <row r="74" spans="1:10" ht="15" customHeight="1">
      <c r="A74" s="5">
        <v>6</v>
      </c>
      <c r="B74" s="15" t="s">
        <v>155</v>
      </c>
      <c r="C74" s="9">
        <v>10</v>
      </c>
      <c r="D74" s="9">
        <v>0</v>
      </c>
      <c r="E74" s="9">
        <f>10</f>
        <v>10</v>
      </c>
      <c r="F74" s="13">
        <v>24</v>
      </c>
      <c r="G74" s="15" t="s">
        <v>156</v>
      </c>
      <c r="H74" s="9">
        <v>2</v>
      </c>
      <c r="I74" s="9">
        <v>1</v>
      </c>
      <c r="J74" s="9">
        <f>1</f>
        <v>1</v>
      </c>
    </row>
    <row r="75" spans="1:10" ht="15" customHeight="1">
      <c r="A75" s="4">
        <v>7</v>
      </c>
      <c r="B75" s="14" t="s">
        <v>157</v>
      </c>
      <c r="C75" s="6">
        <v>9</v>
      </c>
      <c r="D75" s="6">
        <v>0</v>
      </c>
      <c r="E75" s="6">
        <f>9</f>
        <v>9</v>
      </c>
      <c r="F75" s="12">
        <v>25</v>
      </c>
      <c r="G75" s="14" t="s">
        <v>158</v>
      </c>
      <c r="H75" s="6">
        <v>1</v>
      </c>
      <c r="I75" s="6">
        <v>0</v>
      </c>
      <c r="J75" s="6">
        <f>1</f>
        <v>1</v>
      </c>
    </row>
    <row r="76" spans="1:10" ht="15" customHeight="1">
      <c r="A76" s="5">
        <v>8</v>
      </c>
      <c r="B76" s="15" t="s">
        <v>159</v>
      </c>
      <c r="C76" s="9">
        <v>4</v>
      </c>
      <c r="D76" s="9">
        <v>0</v>
      </c>
      <c r="E76" s="9">
        <f>4</f>
        <v>4</v>
      </c>
      <c r="F76" s="13">
        <v>26</v>
      </c>
      <c r="G76" s="15" t="s">
        <v>160</v>
      </c>
      <c r="H76" s="9">
        <v>2</v>
      </c>
      <c r="I76" s="9">
        <v>0</v>
      </c>
      <c r="J76" s="9">
        <f>2</f>
        <v>2</v>
      </c>
    </row>
    <row r="77" spans="1:10" ht="15" customHeight="1">
      <c r="A77" s="4">
        <v>9</v>
      </c>
      <c r="B77" s="14" t="s">
        <v>161</v>
      </c>
      <c r="C77" s="6">
        <v>9</v>
      </c>
      <c r="D77" s="6">
        <v>0</v>
      </c>
      <c r="E77" s="6">
        <f>9</f>
        <v>9</v>
      </c>
      <c r="F77" s="12">
        <v>27</v>
      </c>
      <c r="G77" s="14" t="s">
        <v>162</v>
      </c>
      <c r="H77" s="6">
        <v>0</v>
      </c>
      <c r="I77" s="6">
        <v>0</v>
      </c>
      <c r="J77" s="6">
        <f>0</f>
        <v>0</v>
      </c>
    </row>
    <row r="78" spans="1:10" ht="15" customHeight="1">
      <c r="A78" s="5">
        <v>10</v>
      </c>
      <c r="B78" s="15" t="s">
        <v>163</v>
      </c>
      <c r="C78" s="9">
        <v>17</v>
      </c>
      <c r="D78" s="9">
        <v>0</v>
      </c>
      <c r="E78" s="9">
        <f>17</f>
        <v>17</v>
      </c>
      <c r="F78" s="13">
        <v>28</v>
      </c>
      <c r="G78" s="15" t="s">
        <v>164</v>
      </c>
      <c r="H78" s="9">
        <v>1</v>
      </c>
      <c r="I78" s="9">
        <v>0</v>
      </c>
      <c r="J78" s="9">
        <f>1</f>
        <v>1</v>
      </c>
    </row>
    <row r="79" spans="1:10" ht="15" customHeight="1">
      <c r="A79" s="4">
        <v>11</v>
      </c>
      <c r="B79" s="14" t="s">
        <v>165</v>
      </c>
      <c r="C79" s="6">
        <v>1</v>
      </c>
      <c r="D79" s="6">
        <v>0</v>
      </c>
      <c r="E79" s="6">
        <f>1</f>
        <v>1</v>
      </c>
      <c r="F79" s="12">
        <v>29</v>
      </c>
      <c r="G79" s="14" t="s">
        <v>166</v>
      </c>
      <c r="H79" s="6">
        <v>1</v>
      </c>
      <c r="I79" s="6">
        <v>0</v>
      </c>
      <c r="J79" s="6">
        <f>1</f>
        <v>1</v>
      </c>
    </row>
    <row r="80" spans="1:10" ht="15" customHeight="1">
      <c r="A80" s="5">
        <v>12</v>
      </c>
      <c r="B80" s="15" t="s">
        <v>167</v>
      </c>
      <c r="C80" s="9">
        <v>4</v>
      </c>
      <c r="D80" s="9">
        <v>2</v>
      </c>
      <c r="E80" s="9">
        <f>2</f>
        <v>2</v>
      </c>
      <c r="F80" s="13">
        <v>30</v>
      </c>
      <c r="G80" s="15" t="s">
        <v>168</v>
      </c>
      <c r="H80" s="9">
        <v>1</v>
      </c>
      <c r="I80" s="9">
        <v>0</v>
      </c>
      <c r="J80" s="9">
        <f>1</f>
        <v>1</v>
      </c>
    </row>
    <row r="81" spans="1:10" ht="15" customHeight="1">
      <c r="A81" s="4">
        <v>13</v>
      </c>
      <c r="B81" s="14" t="s">
        <v>169</v>
      </c>
      <c r="C81" s="6">
        <v>2</v>
      </c>
      <c r="D81" s="6">
        <v>0</v>
      </c>
      <c r="E81" s="6">
        <f>2</f>
        <v>2</v>
      </c>
      <c r="F81" s="12">
        <v>31</v>
      </c>
      <c r="G81" s="14" t="s">
        <v>170</v>
      </c>
      <c r="H81" s="6">
        <v>1</v>
      </c>
      <c r="I81" s="6">
        <v>0</v>
      </c>
      <c r="J81" s="6">
        <f>1</f>
        <v>1</v>
      </c>
    </row>
    <row r="82" spans="1:10" ht="15" customHeight="1">
      <c r="A82" s="5">
        <v>14</v>
      </c>
      <c r="B82" s="15" t="s">
        <v>171</v>
      </c>
      <c r="C82" s="9">
        <v>1</v>
      </c>
      <c r="D82" s="9">
        <v>0</v>
      </c>
      <c r="E82" s="9">
        <f>1</f>
        <v>1</v>
      </c>
      <c r="F82" s="13">
        <v>32</v>
      </c>
      <c r="G82" s="15" t="s">
        <v>172</v>
      </c>
      <c r="H82" s="9">
        <v>4</v>
      </c>
      <c r="I82" s="9">
        <v>0</v>
      </c>
      <c r="J82" s="9">
        <f>4</f>
        <v>4</v>
      </c>
    </row>
    <row r="83" spans="1:10" ht="15" customHeight="1">
      <c r="A83" s="4">
        <v>15</v>
      </c>
      <c r="B83" s="14" t="s">
        <v>173</v>
      </c>
      <c r="C83" s="6">
        <v>1</v>
      </c>
      <c r="D83" s="6">
        <v>0</v>
      </c>
      <c r="E83" s="6">
        <f>1</f>
        <v>1</v>
      </c>
      <c r="F83" s="12">
        <v>33</v>
      </c>
      <c r="G83" s="14" t="s">
        <v>174</v>
      </c>
      <c r="H83" s="6">
        <v>5</v>
      </c>
      <c r="I83" s="6">
        <v>0</v>
      </c>
      <c r="J83" s="6">
        <f>5</f>
        <v>5</v>
      </c>
    </row>
    <row r="84" spans="1:10" ht="15" customHeight="1">
      <c r="A84" s="5">
        <v>16</v>
      </c>
      <c r="B84" s="15" t="s">
        <v>175</v>
      </c>
      <c r="C84" s="9">
        <v>20</v>
      </c>
      <c r="D84" s="9">
        <v>1</v>
      </c>
      <c r="E84" s="9">
        <f>19</f>
        <v>19</v>
      </c>
      <c r="F84" s="13">
        <v>34</v>
      </c>
      <c r="G84" s="15" t="s">
        <v>176</v>
      </c>
      <c r="H84" s="9">
        <v>4</v>
      </c>
      <c r="I84" s="9">
        <v>0</v>
      </c>
      <c r="J84" s="9">
        <f>4</f>
        <v>4</v>
      </c>
    </row>
    <row r="85" spans="1:10" ht="15" customHeight="1">
      <c r="A85" s="4">
        <v>17</v>
      </c>
      <c r="B85" s="14" t="s">
        <v>177</v>
      </c>
      <c r="C85" s="6">
        <v>18</v>
      </c>
      <c r="D85" s="6">
        <v>0</v>
      </c>
      <c r="E85" s="6">
        <f>18</f>
        <v>18</v>
      </c>
      <c r="F85" s="12">
        <v>35</v>
      </c>
      <c r="G85" s="14" t="s">
        <v>178</v>
      </c>
      <c r="H85" s="6">
        <v>5</v>
      </c>
      <c r="I85" s="6">
        <v>1</v>
      </c>
      <c r="J85" s="6">
        <f>4</f>
        <v>4</v>
      </c>
    </row>
    <row r="86" spans="1:10" ht="15" customHeight="1">
      <c r="A86" s="5">
        <v>18</v>
      </c>
      <c r="B86" s="15" t="s">
        <v>179</v>
      </c>
      <c r="C86" s="9">
        <v>8</v>
      </c>
      <c r="D86" s="9">
        <v>0</v>
      </c>
      <c r="E86" s="9">
        <f>8</f>
        <v>8</v>
      </c>
      <c r="F86" s="13">
        <v>36</v>
      </c>
      <c r="G86" s="15" t="s">
        <v>180</v>
      </c>
      <c r="H86" s="9">
        <v>1</v>
      </c>
      <c r="I86" s="9">
        <v>0</v>
      </c>
      <c r="J86" s="9">
        <f>1</f>
        <v>1</v>
      </c>
    </row>
    <row r="87" spans="1:10" ht="5.25" customHeight="1">
      <c r="A87" s="23"/>
      <c r="B87" s="24"/>
      <c r="C87" s="25"/>
      <c r="D87" s="25"/>
      <c r="E87" s="25"/>
      <c r="F87" s="26"/>
      <c r="G87" s="24"/>
      <c r="H87" s="25"/>
      <c r="I87" s="25"/>
      <c r="J87" s="25"/>
    </row>
    <row r="88" spans="1:10" ht="15" customHeight="1">
      <c r="A88" s="30" t="s">
        <v>181</v>
      </c>
      <c r="B88" s="40"/>
      <c r="C88" s="40"/>
      <c r="D88" s="40"/>
      <c r="E88" s="40"/>
      <c r="F88" s="40"/>
      <c r="G88" s="40"/>
      <c r="H88" s="40"/>
      <c r="I88" s="40"/>
      <c r="J88" s="41"/>
    </row>
    <row r="89" spans="1:10" ht="15.75" customHeight="1">
      <c r="A89" s="17" t="s">
        <v>182</v>
      </c>
      <c r="B89" s="18"/>
      <c r="C89" s="18"/>
      <c r="D89" s="18"/>
      <c r="E89" s="18"/>
      <c r="F89" s="18"/>
      <c r="G89" s="18"/>
      <c r="H89" s="18"/>
      <c r="I89" s="18"/>
      <c r="J89" s="19"/>
    </row>
    <row r="90" spans="1:10" ht="15.75" customHeight="1">
      <c r="A90" s="17" t="s">
        <v>183</v>
      </c>
      <c r="B90" s="18"/>
      <c r="C90" s="18"/>
      <c r="D90" s="18"/>
      <c r="E90" s="18"/>
      <c r="F90" s="18"/>
      <c r="G90" s="18"/>
      <c r="H90" s="18"/>
      <c r="I90" s="18"/>
      <c r="J90" s="19"/>
    </row>
    <row r="91" spans="1:10" ht="15.75" customHeight="1">
      <c r="A91" s="17" t="s">
        <v>184</v>
      </c>
      <c r="B91" s="18"/>
      <c r="C91" s="18"/>
      <c r="D91" s="18"/>
      <c r="E91" s="18"/>
      <c r="F91" s="18"/>
      <c r="G91" s="18"/>
      <c r="H91" s="18"/>
      <c r="I91" s="18"/>
      <c r="J91" s="19"/>
    </row>
    <row r="92" spans="1:10" ht="15.75" customHeight="1">
      <c r="A92" s="17" t="s">
        <v>185</v>
      </c>
      <c r="B92" s="18"/>
      <c r="C92" s="18"/>
      <c r="D92" s="18"/>
      <c r="E92" s="18"/>
      <c r="F92" s="18"/>
      <c r="G92" s="18"/>
      <c r="H92" s="18"/>
      <c r="I92" s="18"/>
      <c r="J92" s="19"/>
    </row>
    <row r="93" spans="1:10" ht="15.75" customHeight="1">
      <c r="A93" s="17" t="s">
        <v>186</v>
      </c>
      <c r="B93" s="18"/>
      <c r="C93" s="18"/>
      <c r="D93" s="18"/>
      <c r="E93" s="18"/>
      <c r="F93" s="18"/>
      <c r="G93" s="18"/>
      <c r="H93" s="18"/>
      <c r="I93" s="18"/>
      <c r="J93" s="19"/>
    </row>
    <row r="94" spans="1:10" ht="15.75" customHeight="1">
      <c r="A94" s="20" t="s">
        <v>187</v>
      </c>
      <c r="B94" s="21"/>
      <c r="C94" s="21"/>
      <c r="D94" s="21"/>
      <c r="E94" s="21"/>
      <c r="F94" s="21"/>
      <c r="G94" s="21"/>
      <c r="H94" s="21"/>
      <c r="I94" s="21"/>
      <c r="J94" s="22"/>
    </row>
    <row r="95" spans="1:10" ht="15.75" customHeight="1">
      <c r="A95" s="34" t="s">
        <v>188</v>
      </c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1"/>
      <c r="B96" s="36" t="s">
        <v>189</v>
      </c>
      <c r="C96" s="36"/>
      <c r="D96" s="36"/>
      <c r="H96" s="35" t="s">
        <v>190</v>
      </c>
      <c r="I96" s="1"/>
      <c r="J96" s="1"/>
    </row>
    <row r="97" spans="2:4">
      <c r="B97" s="37" t="s">
        <v>191</v>
      </c>
      <c r="C97" s="37"/>
      <c r="D97" s="37"/>
    </row>
    <row r="98" spans="2:4" ht="8.1" customHeight="1"/>
  </sheetData>
  <mergeCells count="132">
    <mergeCell ref="B97:D97"/>
    <mergeCell ref="A67:J67"/>
    <mergeCell ref="A66:J66"/>
    <mergeCell ref="B96:D96"/>
    <mergeCell ref="A88:J88"/>
    <mergeCell ref="H14:J14"/>
    <mergeCell ref="H15:J15"/>
    <mergeCell ref="H16:J16"/>
    <mergeCell ref="H17:J17"/>
    <mergeCell ref="A65:J65"/>
    <mergeCell ref="A1:J3"/>
    <mergeCell ref="A63:J63"/>
    <mergeCell ref="A4:J4"/>
    <mergeCell ref="H18:J18"/>
    <mergeCell ref="H19:J19"/>
    <mergeCell ref="H20:J20"/>
    <mergeCell ref="H21:J21"/>
    <mergeCell ref="H22:J22"/>
    <mergeCell ref="H23:J23"/>
    <mergeCell ref="H24:J2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30:J30"/>
    <mergeCell ref="H31:J31"/>
    <mergeCell ref="H32:J32"/>
    <mergeCell ref="H33:J33"/>
    <mergeCell ref="H34:J34"/>
    <mergeCell ref="H25:J25"/>
    <mergeCell ref="H26:J26"/>
    <mergeCell ref="H27:J27"/>
    <mergeCell ref="H28:J28"/>
    <mergeCell ref="H29:J29"/>
    <mergeCell ref="H41:J41"/>
    <mergeCell ref="H42:J42"/>
    <mergeCell ref="H43:J43"/>
    <mergeCell ref="H44:J44"/>
    <mergeCell ref="H35:J35"/>
    <mergeCell ref="H36:J36"/>
    <mergeCell ref="H37:J37"/>
    <mergeCell ref="H38:J38"/>
    <mergeCell ref="H39:J39"/>
    <mergeCell ref="C5:D5"/>
    <mergeCell ref="C6:D6"/>
    <mergeCell ref="C7:D7"/>
    <mergeCell ref="C8:D8"/>
    <mergeCell ref="C9:D9"/>
    <mergeCell ref="H60:J60"/>
    <mergeCell ref="H61:J61"/>
    <mergeCell ref="H62:J62"/>
    <mergeCell ref="H55:J55"/>
    <mergeCell ref="H56:J56"/>
    <mergeCell ref="H57:J57"/>
    <mergeCell ref="H58:J58"/>
    <mergeCell ref="H59:J59"/>
    <mergeCell ref="H50:J50"/>
    <mergeCell ref="H51:J51"/>
    <mergeCell ref="H52:J52"/>
    <mergeCell ref="H53:J53"/>
    <mergeCell ref="H54:J54"/>
    <mergeCell ref="H45:J45"/>
    <mergeCell ref="H46:J46"/>
    <mergeCell ref="H47:J47"/>
    <mergeCell ref="H48:J48"/>
    <mergeCell ref="H49:J49"/>
    <mergeCell ref="H40:J40"/>
    <mergeCell ref="C15:D15"/>
    <mergeCell ref="C16:D16"/>
    <mergeCell ref="C17:D17"/>
    <mergeCell ref="C18:D18"/>
    <mergeCell ref="C19:D19"/>
    <mergeCell ref="C10:D10"/>
    <mergeCell ref="C11:D11"/>
    <mergeCell ref="C12:D12"/>
    <mergeCell ref="C13:D13"/>
    <mergeCell ref="C14:D14"/>
    <mergeCell ref="C25:D25"/>
    <mergeCell ref="C26:D26"/>
    <mergeCell ref="C27:D27"/>
    <mergeCell ref="C28:D28"/>
    <mergeCell ref="C29:D29"/>
    <mergeCell ref="C20:D20"/>
    <mergeCell ref="C21:D21"/>
    <mergeCell ref="C22:D22"/>
    <mergeCell ref="C23:D23"/>
    <mergeCell ref="C24:D24"/>
    <mergeCell ref="C35:D35"/>
    <mergeCell ref="C36:D36"/>
    <mergeCell ref="C37:D37"/>
    <mergeCell ref="C38:D38"/>
    <mergeCell ref="C39:D39"/>
    <mergeCell ref="C30:D30"/>
    <mergeCell ref="C31:D31"/>
    <mergeCell ref="C32:D32"/>
    <mergeCell ref="C33:D33"/>
    <mergeCell ref="C34:D34"/>
    <mergeCell ref="C45:D45"/>
    <mergeCell ref="C46:D46"/>
    <mergeCell ref="C47:D47"/>
    <mergeCell ref="C48:D48"/>
    <mergeCell ref="C49:D49"/>
    <mergeCell ref="C40:D40"/>
    <mergeCell ref="C41:D41"/>
    <mergeCell ref="C42:D42"/>
    <mergeCell ref="C43:D43"/>
    <mergeCell ref="C44:D44"/>
    <mergeCell ref="C55:D55"/>
    <mergeCell ref="C56:D56"/>
    <mergeCell ref="C57:D57"/>
    <mergeCell ref="C58:D58"/>
    <mergeCell ref="C59:D59"/>
    <mergeCell ref="C50:D50"/>
    <mergeCell ref="C51:D51"/>
    <mergeCell ref="C52:D52"/>
    <mergeCell ref="C53:D53"/>
    <mergeCell ref="C54:D54"/>
    <mergeCell ref="A95:J95"/>
    <mergeCell ref="A90:J90"/>
    <mergeCell ref="A91:J91"/>
    <mergeCell ref="A92:J92"/>
    <mergeCell ref="A93:J93"/>
    <mergeCell ref="A94:J94"/>
    <mergeCell ref="C60:D60"/>
    <mergeCell ref="C61:D61"/>
    <mergeCell ref="C62:D62"/>
    <mergeCell ref="A89:J89"/>
  </mergeCells>
  <pageMargins left="0.3" right="0.3" top="0.3" bottom="0.3" header="0.5" footer="0.5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2026-04-20T15:11:33Z</dcterms:created>
  <dcterms:modified xsi:type="dcterms:W3CDTF">2026-04-20T18:13:40Z</dcterms:modified>
  <cp:category/>
  <cp:contentStatus/>
</cp:coreProperties>
</file>