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3EDB779-3C9F-4137-AE60-C4769E1DBD8A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لوحة المعلومات" sheetId="1" r:id="rId1"/>
    <sheet name="المركبات النشطة" sheetId="2" r:id="rId2"/>
    <sheet name="الأسبير والمعطلة" sheetId="3" r:id="rId3"/>
    <sheet name="السائقون في إجازة" sheetId="4" r:id="rId4"/>
    <sheet name="بيانات_الربط" sheetId="5" state="hidden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2" l="1"/>
  <c r="M13" i="2"/>
  <c r="O13" i="2"/>
  <c r="Q13" i="2"/>
  <c r="S13" i="2"/>
  <c r="E100" i="5" s="1"/>
  <c r="F100" i="5" s="1"/>
  <c r="D121" i="5"/>
  <c r="B121" i="5"/>
  <c r="A121" i="5"/>
  <c r="D120" i="5"/>
  <c r="B120" i="5"/>
  <c r="A120" i="5"/>
  <c r="D119" i="5"/>
  <c r="B119" i="5"/>
  <c r="A119" i="5"/>
  <c r="D118" i="5"/>
  <c r="B118" i="5"/>
  <c r="A118" i="5"/>
  <c r="D117" i="5"/>
  <c r="B117" i="5"/>
  <c r="A117" i="5"/>
  <c r="D116" i="5"/>
  <c r="B116" i="5"/>
  <c r="A116" i="5"/>
  <c r="D115" i="5"/>
  <c r="B115" i="5"/>
  <c r="A115" i="5"/>
  <c r="D114" i="5"/>
  <c r="B114" i="5"/>
  <c r="A114" i="5"/>
  <c r="D113" i="5"/>
  <c r="B113" i="5"/>
  <c r="A113" i="5"/>
  <c r="D112" i="5"/>
  <c r="B112" i="5"/>
  <c r="A112" i="5"/>
  <c r="D111" i="5"/>
  <c r="B111" i="5"/>
  <c r="A111" i="5"/>
  <c r="D110" i="5"/>
  <c r="B110" i="5"/>
  <c r="A110" i="5"/>
  <c r="D109" i="5"/>
  <c r="B109" i="5"/>
  <c r="A109" i="5"/>
  <c r="D108" i="5"/>
  <c r="B108" i="5"/>
  <c r="A108" i="5"/>
  <c r="D107" i="5"/>
  <c r="B107" i="5"/>
  <c r="A107" i="5"/>
  <c r="D106" i="5"/>
  <c r="B106" i="5"/>
  <c r="A106" i="5"/>
  <c r="D105" i="5"/>
  <c r="B105" i="5"/>
  <c r="A105" i="5"/>
  <c r="D104" i="5"/>
  <c r="B104" i="5"/>
  <c r="A104" i="5"/>
  <c r="D103" i="5"/>
  <c r="B103" i="5"/>
  <c r="A103" i="5"/>
  <c r="D102" i="5"/>
  <c r="B102" i="5"/>
  <c r="A102" i="5"/>
  <c r="D101" i="5"/>
  <c r="B101" i="5"/>
  <c r="A101" i="5"/>
  <c r="D100" i="5"/>
  <c r="B100" i="5"/>
  <c r="A100" i="5"/>
  <c r="D99" i="5"/>
  <c r="B99" i="5"/>
  <c r="A99" i="5"/>
  <c r="D98" i="5"/>
  <c r="B98" i="5"/>
  <c r="A98" i="5"/>
  <c r="D97" i="5"/>
  <c r="B97" i="5"/>
  <c r="A97" i="5"/>
  <c r="D96" i="5"/>
  <c r="B96" i="5"/>
  <c r="A96" i="5"/>
  <c r="D95" i="5"/>
  <c r="B95" i="5"/>
  <c r="A95" i="5"/>
  <c r="D94" i="5"/>
  <c r="B94" i="5"/>
  <c r="A94" i="5"/>
  <c r="D93" i="5"/>
  <c r="B93" i="5"/>
  <c r="A93" i="5"/>
  <c r="D92" i="5"/>
  <c r="B92" i="5"/>
  <c r="A92" i="5"/>
  <c r="D91" i="5"/>
  <c r="B91" i="5"/>
  <c r="A91" i="5"/>
  <c r="D90" i="5"/>
  <c r="B90" i="5"/>
  <c r="A90" i="5"/>
  <c r="D89" i="5"/>
  <c r="B89" i="5"/>
  <c r="A89" i="5"/>
  <c r="D88" i="5"/>
  <c r="B88" i="5"/>
  <c r="A88" i="5"/>
  <c r="D87" i="5"/>
  <c r="B87" i="5"/>
  <c r="A87" i="5"/>
  <c r="D86" i="5"/>
  <c r="B86" i="5"/>
  <c r="A86" i="5"/>
  <c r="D85" i="5"/>
  <c r="B85" i="5"/>
  <c r="A85" i="5"/>
  <c r="D84" i="5"/>
  <c r="B84" i="5"/>
  <c r="A84" i="5"/>
  <c r="D83" i="5"/>
  <c r="B83" i="5"/>
  <c r="A83" i="5"/>
  <c r="D82" i="5"/>
  <c r="B82" i="5"/>
  <c r="A82" i="5"/>
  <c r="D81" i="5"/>
  <c r="B81" i="5"/>
  <c r="A81" i="5"/>
  <c r="D80" i="5"/>
  <c r="B80" i="5"/>
  <c r="A80" i="5"/>
  <c r="D79" i="5"/>
  <c r="B79" i="5"/>
  <c r="A79" i="5"/>
  <c r="D78" i="5"/>
  <c r="B78" i="5"/>
  <c r="A78" i="5"/>
  <c r="D77" i="5"/>
  <c r="B77" i="5"/>
  <c r="A77" i="5"/>
  <c r="D76" i="5"/>
  <c r="B76" i="5"/>
  <c r="A76" i="5"/>
  <c r="D75" i="5"/>
  <c r="B75" i="5"/>
  <c r="A75" i="5"/>
  <c r="D74" i="5"/>
  <c r="B74" i="5"/>
  <c r="A74" i="5"/>
  <c r="D73" i="5"/>
  <c r="B73" i="5"/>
  <c r="A73" i="5"/>
  <c r="D72" i="5"/>
  <c r="B72" i="5"/>
  <c r="A72" i="5"/>
  <c r="D71" i="5"/>
  <c r="B71" i="5"/>
  <c r="A71" i="5"/>
  <c r="D70" i="5"/>
  <c r="B70" i="5"/>
  <c r="A70" i="5"/>
  <c r="D69" i="5"/>
  <c r="B69" i="5"/>
  <c r="A69" i="5"/>
  <c r="D68" i="5"/>
  <c r="B68" i="5"/>
  <c r="A68" i="5"/>
  <c r="D67" i="5"/>
  <c r="B67" i="5"/>
  <c r="A67" i="5"/>
  <c r="D66" i="5"/>
  <c r="B66" i="5"/>
  <c r="A66" i="5"/>
  <c r="D65" i="5"/>
  <c r="B65" i="5"/>
  <c r="A65" i="5"/>
  <c r="D64" i="5"/>
  <c r="B64" i="5"/>
  <c r="A64" i="5"/>
  <c r="D63" i="5"/>
  <c r="B63" i="5"/>
  <c r="A63" i="5"/>
  <c r="D62" i="5"/>
  <c r="B62" i="5"/>
  <c r="A62" i="5"/>
  <c r="D61" i="5"/>
  <c r="B61" i="5"/>
  <c r="A61" i="5"/>
  <c r="D60" i="5"/>
  <c r="B60" i="5"/>
  <c r="A60" i="5"/>
  <c r="D59" i="5"/>
  <c r="B59" i="5"/>
  <c r="A59" i="5"/>
  <c r="D58" i="5"/>
  <c r="B58" i="5"/>
  <c r="A58" i="5"/>
  <c r="D57" i="5"/>
  <c r="B57" i="5"/>
  <c r="A57" i="5"/>
  <c r="D56" i="5"/>
  <c r="B56" i="5"/>
  <c r="A56" i="5"/>
  <c r="D55" i="5"/>
  <c r="B55" i="5"/>
  <c r="A55" i="5"/>
  <c r="D54" i="5"/>
  <c r="B54" i="5"/>
  <c r="A54" i="5"/>
  <c r="D53" i="5"/>
  <c r="B53" i="5"/>
  <c r="A53" i="5"/>
  <c r="D52" i="5"/>
  <c r="B52" i="5"/>
  <c r="A52" i="5"/>
  <c r="D51" i="5"/>
  <c r="B51" i="5"/>
  <c r="A51" i="5"/>
  <c r="D50" i="5"/>
  <c r="B50" i="5"/>
  <c r="A50" i="5"/>
  <c r="D49" i="5"/>
  <c r="B49" i="5"/>
  <c r="A49" i="5"/>
  <c r="D48" i="5"/>
  <c r="B48" i="5"/>
  <c r="A48" i="5"/>
  <c r="D47" i="5"/>
  <c r="B47" i="5"/>
  <c r="A47" i="5"/>
  <c r="D46" i="5"/>
  <c r="B46" i="5"/>
  <c r="A46" i="5"/>
  <c r="D45" i="5"/>
  <c r="B45" i="5"/>
  <c r="A45" i="5"/>
  <c r="D44" i="5"/>
  <c r="B44" i="5"/>
  <c r="A44" i="5"/>
  <c r="D43" i="5"/>
  <c r="B43" i="5"/>
  <c r="A43" i="5"/>
  <c r="D42" i="5"/>
  <c r="B42" i="5"/>
  <c r="A42" i="5"/>
  <c r="D41" i="5"/>
  <c r="B41" i="5"/>
  <c r="A41" i="5"/>
  <c r="D40" i="5"/>
  <c r="B40" i="5"/>
  <c r="A40" i="5"/>
  <c r="D39" i="5"/>
  <c r="B39" i="5"/>
  <c r="A39" i="5"/>
  <c r="D38" i="5"/>
  <c r="B38" i="5"/>
  <c r="A38" i="5"/>
  <c r="D37" i="5"/>
  <c r="B37" i="5"/>
  <c r="A37" i="5"/>
  <c r="D36" i="5"/>
  <c r="B36" i="5"/>
  <c r="A36" i="5"/>
  <c r="D35" i="5"/>
  <c r="B35" i="5"/>
  <c r="A35" i="5"/>
  <c r="D34" i="5"/>
  <c r="B34" i="5"/>
  <c r="A34" i="5"/>
  <c r="D33" i="5"/>
  <c r="B33" i="5"/>
  <c r="A33" i="5"/>
  <c r="D32" i="5"/>
  <c r="B32" i="5"/>
  <c r="A32" i="5"/>
  <c r="D31" i="5"/>
  <c r="B31" i="5"/>
  <c r="A31" i="5"/>
  <c r="D30" i="5"/>
  <c r="B30" i="5"/>
  <c r="A30" i="5"/>
  <c r="D29" i="5"/>
  <c r="B29" i="5"/>
  <c r="A29" i="5"/>
  <c r="D28" i="5"/>
  <c r="B28" i="5"/>
  <c r="A28" i="5"/>
  <c r="D27" i="5"/>
  <c r="B27" i="5"/>
  <c r="A27" i="5"/>
  <c r="D26" i="5"/>
  <c r="B26" i="5"/>
  <c r="A26" i="5"/>
  <c r="D25" i="5"/>
  <c r="B25" i="5"/>
  <c r="A25" i="5"/>
  <c r="D24" i="5"/>
  <c r="B24" i="5"/>
  <c r="A24" i="5"/>
  <c r="D23" i="5"/>
  <c r="B23" i="5"/>
  <c r="A23" i="5"/>
  <c r="D22" i="5"/>
  <c r="B22" i="5"/>
  <c r="A22" i="5"/>
  <c r="D21" i="5"/>
  <c r="B21" i="5"/>
  <c r="A21" i="5"/>
  <c r="D20" i="5"/>
  <c r="B20" i="5"/>
  <c r="A20" i="5"/>
  <c r="D19" i="5"/>
  <c r="B19" i="5"/>
  <c r="A19" i="5"/>
  <c r="D18" i="5"/>
  <c r="B18" i="5"/>
  <c r="A18" i="5"/>
  <c r="D17" i="5"/>
  <c r="B17" i="5"/>
  <c r="A17" i="5"/>
  <c r="D16" i="5"/>
  <c r="B16" i="5"/>
  <c r="A16" i="5"/>
  <c r="D15" i="5"/>
  <c r="B15" i="5"/>
  <c r="A15" i="5"/>
  <c r="D14" i="5"/>
  <c r="B14" i="5"/>
  <c r="A14" i="5"/>
  <c r="D13" i="5"/>
  <c r="B13" i="5"/>
  <c r="A13" i="5"/>
  <c r="D12" i="5"/>
  <c r="B12" i="5"/>
  <c r="A12" i="5"/>
  <c r="D11" i="5"/>
  <c r="B11" i="5"/>
  <c r="A11" i="5"/>
  <c r="D10" i="5"/>
  <c r="B10" i="5"/>
  <c r="A10" i="5"/>
  <c r="D9" i="5"/>
  <c r="B9" i="5"/>
  <c r="A9" i="5"/>
  <c r="D8" i="5"/>
  <c r="B8" i="5"/>
  <c r="A8" i="5"/>
  <c r="D7" i="5"/>
  <c r="B7" i="5"/>
  <c r="A7" i="5"/>
  <c r="D6" i="5"/>
  <c r="B6" i="5"/>
  <c r="A6" i="5"/>
  <c r="D5" i="5"/>
  <c r="B5" i="5"/>
  <c r="A5" i="5"/>
  <c r="D4" i="5"/>
  <c r="B4" i="5"/>
  <c r="A4" i="5"/>
  <c r="D3" i="5"/>
  <c r="B3" i="5"/>
  <c r="A3" i="5"/>
  <c r="D2" i="5"/>
  <c r="B2" i="5"/>
  <c r="A2" i="5"/>
  <c r="G6" i="4"/>
  <c r="G5" i="4"/>
  <c r="G4" i="4"/>
  <c r="N9" i="3"/>
  <c r="L9" i="3"/>
  <c r="J9" i="3"/>
  <c r="N8" i="3"/>
  <c r="L8" i="3"/>
  <c r="J8" i="3"/>
  <c r="N7" i="3"/>
  <c r="L7" i="3"/>
  <c r="J7" i="3"/>
  <c r="N6" i="3"/>
  <c r="L6" i="3"/>
  <c r="J6" i="3"/>
  <c r="N5" i="3"/>
  <c r="L5" i="3"/>
  <c r="J5" i="3"/>
  <c r="N4" i="3"/>
  <c r="L4" i="3"/>
  <c r="J4" i="3"/>
  <c r="S34" i="2"/>
  <c r="E121" i="5" s="1"/>
  <c r="F121" i="5" s="1"/>
  <c r="Q34" i="2"/>
  <c r="E91" i="5" s="1"/>
  <c r="F91" i="5" s="1"/>
  <c r="O34" i="2"/>
  <c r="E61" i="5" s="1"/>
  <c r="F61" i="5" s="1"/>
  <c r="M34" i="2"/>
  <c r="E31" i="5" s="1"/>
  <c r="F31" i="5" s="1"/>
  <c r="S33" i="2"/>
  <c r="E120" i="5" s="1"/>
  <c r="F120" i="5" s="1"/>
  <c r="Q33" i="2"/>
  <c r="E90" i="5" s="1"/>
  <c r="F90" i="5" s="1"/>
  <c r="O33" i="2"/>
  <c r="E60" i="5" s="1"/>
  <c r="F60" i="5" s="1"/>
  <c r="M33" i="2"/>
  <c r="E30" i="5" s="1"/>
  <c r="F30" i="5" s="1"/>
  <c r="S32" i="2"/>
  <c r="E119" i="5" s="1"/>
  <c r="F119" i="5" s="1"/>
  <c r="Q32" i="2"/>
  <c r="E89" i="5" s="1"/>
  <c r="F89" i="5" s="1"/>
  <c r="O32" i="2"/>
  <c r="E59" i="5" s="1"/>
  <c r="F59" i="5" s="1"/>
  <c r="M32" i="2"/>
  <c r="E29" i="5" s="1"/>
  <c r="F29" i="5" s="1"/>
  <c r="S31" i="2"/>
  <c r="E118" i="5" s="1"/>
  <c r="F118" i="5" s="1"/>
  <c r="Q31" i="2"/>
  <c r="E88" i="5" s="1"/>
  <c r="F88" i="5" s="1"/>
  <c r="O31" i="2"/>
  <c r="E58" i="5" s="1"/>
  <c r="F58" i="5" s="1"/>
  <c r="M31" i="2"/>
  <c r="E28" i="5" s="1"/>
  <c r="F28" i="5" s="1"/>
  <c r="S30" i="2"/>
  <c r="E117" i="5" s="1"/>
  <c r="F117" i="5" s="1"/>
  <c r="Q30" i="2"/>
  <c r="E87" i="5" s="1"/>
  <c r="F87" i="5" s="1"/>
  <c r="O30" i="2"/>
  <c r="E57" i="5" s="1"/>
  <c r="F57" i="5" s="1"/>
  <c r="M30" i="2"/>
  <c r="E27" i="5" s="1"/>
  <c r="F27" i="5" s="1"/>
  <c r="S29" i="2"/>
  <c r="E116" i="5" s="1"/>
  <c r="F116" i="5" s="1"/>
  <c r="Q29" i="2"/>
  <c r="E86" i="5" s="1"/>
  <c r="F86" i="5" s="1"/>
  <c r="O29" i="2"/>
  <c r="E56" i="5" s="1"/>
  <c r="F56" i="5" s="1"/>
  <c r="M29" i="2"/>
  <c r="E26" i="5" s="1"/>
  <c r="F26" i="5" s="1"/>
  <c r="S28" i="2"/>
  <c r="E115" i="5" s="1"/>
  <c r="F115" i="5" s="1"/>
  <c r="Q28" i="2"/>
  <c r="E85" i="5" s="1"/>
  <c r="F85" i="5" s="1"/>
  <c r="O28" i="2"/>
  <c r="E55" i="5" s="1"/>
  <c r="F55" i="5" s="1"/>
  <c r="M28" i="2"/>
  <c r="E25" i="5" s="1"/>
  <c r="F25" i="5" s="1"/>
  <c r="S27" i="2"/>
  <c r="E114" i="5" s="1"/>
  <c r="F114" i="5" s="1"/>
  <c r="Q27" i="2"/>
  <c r="E84" i="5" s="1"/>
  <c r="F84" i="5" s="1"/>
  <c r="O27" i="2"/>
  <c r="E54" i="5" s="1"/>
  <c r="F54" i="5" s="1"/>
  <c r="M27" i="2"/>
  <c r="E24" i="5" s="1"/>
  <c r="F24" i="5" s="1"/>
  <c r="S26" i="2"/>
  <c r="E113" i="5" s="1"/>
  <c r="F113" i="5" s="1"/>
  <c r="Q26" i="2"/>
  <c r="E83" i="5" s="1"/>
  <c r="F83" i="5" s="1"/>
  <c r="O26" i="2"/>
  <c r="E53" i="5" s="1"/>
  <c r="F53" i="5" s="1"/>
  <c r="M26" i="2"/>
  <c r="E23" i="5" s="1"/>
  <c r="F23" i="5" s="1"/>
  <c r="S25" i="2"/>
  <c r="E112" i="5" s="1"/>
  <c r="F112" i="5" s="1"/>
  <c r="Q25" i="2"/>
  <c r="E82" i="5" s="1"/>
  <c r="F82" i="5" s="1"/>
  <c r="O25" i="2"/>
  <c r="E52" i="5" s="1"/>
  <c r="F52" i="5" s="1"/>
  <c r="M25" i="2"/>
  <c r="E22" i="5" s="1"/>
  <c r="F22" i="5" s="1"/>
  <c r="S24" i="2"/>
  <c r="E111" i="5" s="1"/>
  <c r="F111" i="5" s="1"/>
  <c r="Q24" i="2"/>
  <c r="E81" i="5" s="1"/>
  <c r="F81" i="5" s="1"/>
  <c r="O24" i="2"/>
  <c r="E51" i="5" s="1"/>
  <c r="F51" i="5" s="1"/>
  <c r="M24" i="2"/>
  <c r="E21" i="5" s="1"/>
  <c r="F21" i="5" s="1"/>
  <c r="S23" i="2"/>
  <c r="E110" i="5" s="1"/>
  <c r="F110" i="5" s="1"/>
  <c r="Q23" i="2"/>
  <c r="E80" i="5" s="1"/>
  <c r="F80" i="5" s="1"/>
  <c r="O23" i="2"/>
  <c r="E50" i="5" s="1"/>
  <c r="F50" i="5" s="1"/>
  <c r="M23" i="2"/>
  <c r="E20" i="5" s="1"/>
  <c r="F20" i="5" s="1"/>
  <c r="S22" i="2"/>
  <c r="E109" i="5" s="1"/>
  <c r="F109" i="5" s="1"/>
  <c r="Q22" i="2"/>
  <c r="E79" i="5" s="1"/>
  <c r="F79" i="5" s="1"/>
  <c r="O22" i="2"/>
  <c r="E49" i="5" s="1"/>
  <c r="F49" i="5" s="1"/>
  <c r="M22" i="2"/>
  <c r="E19" i="5" s="1"/>
  <c r="F19" i="5" s="1"/>
  <c r="S21" i="2"/>
  <c r="E108" i="5" s="1"/>
  <c r="F108" i="5" s="1"/>
  <c r="Q21" i="2"/>
  <c r="E78" i="5" s="1"/>
  <c r="F78" i="5" s="1"/>
  <c r="O21" i="2"/>
  <c r="E48" i="5" s="1"/>
  <c r="F48" i="5" s="1"/>
  <c r="M21" i="2"/>
  <c r="E18" i="5" s="1"/>
  <c r="F18" i="5" s="1"/>
  <c r="S20" i="2"/>
  <c r="E107" i="5" s="1"/>
  <c r="F107" i="5" s="1"/>
  <c r="Q20" i="2"/>
  <c r="E77" i="5" s="1"/>
  <c r="F77" i="5" s="1"/>
  <c r="O20" i="2"/>
  <c r="E47" i="5" s="1"/>
  <c r="F47" i="5" s="1"/>
  <c r="M20" i="2"/>
  <c r="E17" i="5" s="1"/>
  <c r="F17" i="5" s="1"/>
  <c r="S19" i="2"/>
  <c r="E106" i="5" s="1"/>
  <c r="F106" i="5" s="1"/>
  <c r="Q19" i="2"/>
  <c r="E76" i="5" s="1"/>
  <c r="F76" i="5" s="1"/>
  <c r="O19" i="2"/>
  <c r="E46" i="5" s="1"/>
  <c r="F46" i="5" s="1"/>
  <c r="M19" i="2"/>
  <c r="E16" i="5" s="1"/>
  <c r="F16" i="5" s="1"/>
  <c r="S18" i="2"/>
  <c r="E105" i="5" s="1"/>
  <c r="F105" i="5" s="1"/>
  <c r="Q18" i="2"/>
  <c r="E75" i="5" s="1"/>
  <c r="F75" i="5" s="1"/>
  <c r="O18" i="2"/>
  <c r="E45" i="5" s="1"/>
  <c r="F45" i="5" s="1"/>
  <c r="M18" i="2"/>
  <c r="E15" i="5" s="1"/>
  <c r="F15" i="5" s="1"/>
  <c r="S17" i="2"/>
  <c r="E104" i="5" s="1"/>
  <c r="F104" i="5" s="1"/>
  <c r="Q17" i="2"/>
  <c r="E74" i="5" s="1"/>
  <c r="F74" i="5" s="1"/>
  <c r="O17" i="2"/>
  <c r="E44" i="5" s="1"/>
  <c r="F44" i="5" s="1"/>
  <c r="M17" i="2"/>
  <c r="E14" i="5" s="1"/>
  <c r="F14" i="5" s="1"/>
  <c r="S16" i="2"/>
  <c r="E103" i="5" s="1"/>
  <c r="F103" i="5" s="1"/>
  <c r="Q16" i="2"/>
  <c r="E73" i="5" s="1"/>
  <c r="F73" i="5" s="1"/>
  <c r="O16" i="2"/>
  <c r="E43" i="5" s="1"/>
  <c r="F43" i="5" s="1"/>
  <c r="M16" i="2"/>
  <c r="E13" i="5" s="1"/>
  <c r="F13" i="5" s="1"/>
  <c r="S15" i="2"/>
  <c r="E102" i="5" s="1"/>
  <c r="F102" i="5" s="1"/>
  <c r="Q15" i="2"/>
  <c r="E72" i="5" s="1"/>
  <c r="F72" i="5" s="1"/>
  <c r="O15" i="2"/>
  <c r="E42" i="5" s="1"/>
  <c r="F42" i="5" s="1"/>
  <c r="M15" i="2"/>
  <c r="E12" i="5" s="1"/>
  <c r="F12" i="5" s="1"/>
  <c r="S14" i="2"/>
  <c r="E101" i="5" s="1"/>
  <c r="F101" i="5" s="1"/>
  <c r="Q14" i="2"/>
  <c r="E71" i="5" s="1"/>
  <c r="F71" i="5" s="1"/>
  <c r="O14" i="2"/>
  <c r="E41" i="5" s="1"/>
  <c r="F41" i="5" s="1"/>
  <c r="M14" i="2"/>
  <c r="E11" i="5" s="1"/>
  <c r="F11" i="5" s="1"/>
  <c r="E70" i="5"/>
  <c r="F70" i="5" s="1"/>
  <c r="E40" i="5"/>
  <c r="F40" i="5" s="1"/>
  <c r="E10" i="5"/>
  <c r="F10" i="5" s="1"/>
  <c r="S12" i="2"/>
  <c r="E99" i="5" s="1"/>
  <c r="F99" i="5" s="1"/>
  <c r="Q12" i="2"/>
  <c r="E69" i="5" s="1"/>
  <c r="F69" i="5" s="1"/>
  <c r="O12" i="2"/>
  <c r="E39" i="5" s="1"/>
  <c r="F39" i="5" s="1"/>
  <c r="M12" i="2"/>
  <c r="E9" i="5" s="1"/>
  <c r="F9" i="5" s="1"/>
  <c r="S11" i="2"/>
  <c r="E98" i="5" s="1"/>
  <c r="F98" i="5" s="1"/>
  <c r="Q11" i="2"/>
  <c r="E68" i="5" s="1"/>
  <c r="F68" i="5" s="1"/>
  <c r="O11" i="2"/>
  <c r="E38" i="5" s="1"/>
  <c r="F38" i="5" s="1"/>
  <c r="M11" i="2"/>
  <c r="E8" i="5" s="1"/>
  <c r="F8" i="5" s="1"/>
  <c r="S10" i="2"/>
  <c r="E97" i="5" s="1"/>
  <c r="F97" i="5" s="1"/>
  <c r="Q10" i="2"/>
  <c r="E67" i="5" s="1"/>
  <c r="F67" i="5" s="1"/>
  <c r="O10" i="2"/>
  <c r="E37" i="5" s="1"/>
  <c r="F37" i="5" s="1"/>
  <c r="M10" i="2"/>
  <c r="E7" i="5" s="1"/>
  <c r="F7" i="5" s="1"/>
  <c r="S9" i="2"/>
  <c r="E96" i="5" s="1"/>
  <c r="F96" i="5" s="1"/>
  <c r="Q9" i="2"/>
  <c r="E66" i="5" s="1"/>
  <c r="F66" i="5" s="1"/>
  <c r="O9" i="2"/>
  <c r="E36" i="5" s="1"/>
  <c r="F36" i="5" s="1"/>
  <c r="E6" i="5"/>
  <c r="F6" i="5" s="1"/>
  <c r="S8" i="2"/>
  <c r="E95" i="5" s="1"/>
  <c r="F95" i="5" s="1"/>
  <c r="Q8" i="2"/>
  <c r="E65" i="5" s="1"/>
  <c r="F65" i="5" s="1"/>
  <c r="O8" i="2"/>
  <c r="E35" i="5" s="1"/>
  <c r="F35" i="5" s="1"/>
  <c r="M8" i="2"/>
  <c r="E5" i="5" s="1"/>
  <c r="F5" i="5" s="1"/>
  <c r="S7" i="2"/>
  <c r="E94" i="5" s="1"/>
  <c r="F94" i="5" s="1"/>
  <c r="Q7" i="2"/>
  <c r="E64" i="5" s="1"/>
  <c r="F64" i="5" s="1"/>
  <c r="O7" i="2"/>
  <c r="E34" i="5" s="1"/>
  <c r="F34" i="5" s="1"/>
  <c r="M7" i="2"/>
  <c r="E4" i="5" s="1"/>
  <c r="F4" i="5" s="1"/>
  <c r="S6" i="2"/>
  <c r="E93" i="5" s="1"/>
  <c r="F93" i="5" s="1"/>
  <c r="Q6" i="2"/>
  <c r="E63" i="5" s="1"/>
  <c r="F63" i="5" s="1"/>
  <c r="O6" i="2"/>
  <c r="E33" i="5" s="1"/>
  <c r="F33" i="5" s="1"/>
  <c r="M6" i="2"/>
  <c r="E3" i="5" s="1"/>
  <c r="F3" i="5" s="1"/>
  <c r="S5" i="2"/>
  <c r="E92" i="5" s="1"/>
  <c r="F92" i="5" s="1"/>
  <c r="Q5" i="2"/>
  <c r="E62" i="5" s="1"/>
  <c r="F62" i="5" s="1"/>
  <c r="O5" i="2"/>
  <c r="E32" i="5" s="1"/>
  <c r="F32" i="5" s="1"/>
  <c r="M5" i="2"/>
  <c r="E2" i="5" s="1"/>
  <c r="F2" i="5" s="1"/>
  <c r="T2" i="2"/>
  <c r="B25" i="1"/>
  <c r="B24" i="1"/>
  <c r="B23" i="1"/>
  <c r="B22" i="1"/>
  <c r="B21" i="1"/>
  <c r="B20" i="1"/>
  <c r="B19" i="1"/>
  <c r="I5" i="1"/>
  <c r="G5" i="1"/>
  <c r="E5" i="1"/>
  <c r="C5" i="1"/>
  <c r="A5" i="1"/>
  <c r="E2" i="1"/>
  <c r="G14" i="1" l="1"/>
  <c r="G10" i="1"/>
  <c r="G15" i="1"/>
  <c r="G11" i="1"/>
  <c r="G13" i="1"/>
  <c r="G9" i="1"/>
  <c r="G12" i="1"/>
  <c r="D11" i="1" l="1"/>
  <c r="C11" i="1"/>
  <c r="E11" i="1"/>
  <c r="B11" i="1"/>
  <c r="A11" i="1"/>
  <c r="F11" i="1"/>
  <c r="E12" i="1"/>
  <c r="A12" i="1"/>
  <c r="D12" i="1"/>
  <c r="F12" i="1"/>
  <c r="C12" i="1"/>
  <c r="B12" i="1"/>
  <c r="D15" i="1"/>
  <c r="C15" i="1"/>
  <c r="A15" i="1"/>
  <c r="F15" i="1"/>
  <c r="E15" i="1"/>
  <c r="B15" i="1"/>
  <c r="F9" i="1"/>
  <c r="B9" i="1"/>
  <c r="E9" i="1"/>
  <c r="A9" i="1"/>
  <c r="C9" i="1"/>
  <c r="D9" i="1"/>
  <c r="C10" i="1"/>
  <c r="F10" i="1"/>
  <c r="B10" i="1"/>
  <c r="D10" i="1"/>
  <c r="A10" i="1"/>
  <c r="E10" i="1"/>
  <c r="F13" i="1"/>
  <c r="B13" i="1"/>
  <c r="E13" i="1"/>
  <c r="A13" i="1"/>
  <c r="D13" i="1"/>
  <c r="C13" i="1"/>
  <c r="C14" i="1"/>
  <c r="F14" i="1"/>
  <c r="B14" i="1"/>
  <c r="E14" i="1"/>
  <c r="D14" i="1"/>
  <c r="A14" i="1"/>
</calcChain>
</file>

<file path=xl/sharedStrings.xml><?xml version="1.0" encoding="utf-8"?>
<sst xmlns="http://schemas.openxmlformats.org/spreadsheetml/2006/main" count="379" uniqueCount="130">
  <si>
    <t>لوحة معلومات أسطول المركبات - فرع الدمام</t>
  </si>
  <si>
    <t>تاريخ آخر تحديث:</t>
  </si>
  <si>
    <t>تاريخ اليوم:</t>
  </si>
  <si>
    <t>إجمالي عدد السائقين</t>
  </si>
  <si>
    <t>عدد الموصلين</t>
  </si>
  <si>
    <t>عدد الموزعين</t>
  </si>
  <si>
    <t>سائقون في إجازة</t>
  </si>
  <si>
    <t>مركبات أسبير/معطلة</t>
  </si>
  <si>
    <t>⚠ المستندات التي تنتهي خلال 30 يومًا أو منتهية</t>
  </si>
  <si>
    <t>م</t>
  </si>
  <si>
    <t>الاسم</t>
  </si>
  <si>
    <t>رقم اللوحة</t>
  </si>
  <si>
    <t>نوع المستند</t>
  </si>
  <si>
    <t>تاريخ الانتهاء</t>
  </si>
  <si>
    <t>الأيام المتبقية</t>
  </si>
  <si>
    <t>موصل</t>
  </si>
  <si>
    <t>موزع</t>
  </si>
  <si>
    <t>ايسوزو دينا</t>
  </si>
  <si>
    <t>ايسوزو لوري</t>
  </si>
  <si>
    <t>متسوبيشي دينا</t>
  </si>
  <si>
    <t>متسوبيشي لوري</t>
  </si>
  <si>
    <t>هينو  دينا</t>
  </si>
  <si>
    <t xml:space="preserve">   اعداد / ادارة قسم الحركة</t>
  </si>
  <si>
    <t>جدول تحديث المركبات والسائقين الأسبوعي - فرع الدمام 2026</t>
  </si>
  <si>
    <t>الرقم الوظيفي</t>
  </si>
  <si>
    <t>اسم السائق</t>
  </si>
  <si>
    <t>رقم الإقامة</t>
  </si>
  <si>
    <t>الوظيفة</t>
  </si>
  <si>
    <t>الموديل</t>
  </si>
  <si>
    <t>نوع المركبة</t>
  </si>
  <si>
    <t>عدد الطبالي</t>
  </si>
  <si>
    <t>الحمولة</t>
  </si>
  <si>
    <t>الرقم التسلسلي</t>
  </si>
  <si>
    <t>تاريخ انتهاء الفحص الدوري</t>
  </si>
  <si>
    <t>تاريخ انتهاء رخصة السير</t>
  </si>
  <si>
    <t>تاريخ انتهاء بطاقة السائق</t>
  </si>
  <si>
    <t>تاريخ انتهاء بطاقة التشغيل</t>
  </si>
  <si>
    <t>الملاحظات</t>
  </si>
  <si>
    <t>رقم الجوال</t>
  </si>
  <si>
    <t>شمون مياه ادريس مياه</t>
  </si>
  <si>
    <t>ا س م  8013</t>
  </si>
  <si>
    <t>لا يوجد</t>
  </si>
  <si>
    <t>مارييل فينود</t>
  </si>
  <si>
    <t>أ س م 8025</t>
  </si>
  <si>
    <t>لايوجد بطاقة سائق</t>
  </si>
  <si>
    <t>محمد عبدالصبور عبدالعزيز</t>
  </si>
  <si>
    <t>ا س م 8024</t>
  </si>
  <si>
    <t>كابيل مياه</t>
  </si>
  <si>
    <t>ا س ح  8714</t>
  </si>
  <si>
    <t>(بطاقة مقيدة - تعديل مهنة )</t>
  </si>
  <si>
    <t>تنفير حسين</t>
  </si>
  <si>
    <t>ا ر ع  2234</t>
  </si>
  <si>
    <t>لايوجد</t>
  </si>
  <si>
    <t>محمد مصلح حمادي محسن</t>
  </si>
  <si>
    <t>ا ر و 4140</t>
  </si>
  <si>
    <t>علاء عبد النبي رفاعي احمد</t>
  </si>
  <si>
    <t>ا س  8015</t>
  </si>
  <si>
    <t>رفيق اسان بيلات</t>
  </si>
  <si>
    <t>ا س ق 7776</t>
  </si>
  <si>
    <t>ابراهيم محمد ابوزيد محمد</t>
  </si>
  <si>
    <t>أ ر ع  2233</t>
  </si>
  <si>
    <t>(تعديل مهنة )</t>
  </si>
  <si>
    <t>انفير كاريماري عمير</t>
  </si>
  <si>
    <t>ا ر و 4085</t>
  </si>
  <si>
    <t>ارجوان</t>
  </si>
  <si>
    <t>ا س م 8033</t>
  </si>
  <si>
    <t>اجيت راجا</t>
  </si>
  <si>
    <t>ا ر و 4084</t>
  </si>
  <si>
    <t>سليم اختر محمد</t>
  </si>
  <si>
    <t>ا س ح 8670</t>
  </si>
  <si>
    <t>محمد عبدالنبي رفاعي احمد</t>
  </si>
  <si>
    <t>ا ص ق 6853</t>
  </si>
  <si>
    <t>اسف باث شوهل</t>
  </si>
  <si>
    <t>ا س ح  8717</t>
  </si>
  <si>
    <t>فالق سجاد سجاد</t>
  </si>
  <si>
    <t>ا س م 8029</t>
  </si>
  <si>
    <t>موزيد خان</t>
  </si>
  <si>
    <t>ا س ل 8850</t>
  </si>
  <si>
    <t>بسام علي احمد الجلال</t>
  </si>
  <si>
    <t>ا س م 8023</t>
  </si>
  <si>
    <t>كرم ابو الهدى صادق</t>
  </si>
  <si>
    <t>ا ر و  4071</t>
  </si>
  <si>
    <t>مران حسين مد تارو</t>
  </si>
  <si>
    <t>ا س م 8031</t>
  </si>
  <si>
    <t>محمد عبدالحميد محمد</t>
  </si>
  <si>
    <t>ا س م  8035</t>
  </si>
  <si>
    <t>احمد عبدالصبور رشوان</t>
  </si>
  <si>
    <t>ا س م  8021</t>
  </si>
  <si>
    <t>انصار الم</t>
  </si>
  <si>
    <t>ا ر و  4139</t>
  </si>
  <si>
    <t>شندان دبينات</t>
  </si>
  <si>
    <t>ا ر و 4141</t>
  </si>
  <si>
    <t>مد سيف الاسلام</t>
  </si>
  <si>
    <t>ا ر ع 2240</t>
  </si>
  <si>
    <t>شوكت علي</t>
  </si>
  <si>
    <t>أ س ر 8873</t>
  </si>
  <si>
    <t>علي محمد ابوزيد محمد</t>
  </si>
  <si>
    <t>ا ر ل  5580</t>
  </si>
  <si>
    <t>انال كومار</t>
  </si>
  <si>
    <t>ا س ح 8715</t>
  </si>
  <si>
    <t>احمد دنقل</t>
  </si>
  <si>
    <t>ا ص ا 7810</t>
  </si>
  <si>
    <t>محمد عبدالرحمن السيد المندوه</t>
  </si>
  <si>
    <t>أ ص ق 6855</t>
  </si>
  <si>
    <t>بيان المركبات الأسبير والمعطلة</t>
  </si>
  <si>
    <t>الحالة</t>
  </si>
  <si>
    <t>فحص</t>
  </si>
  <si>
    <t>ا س ق 7774</t>
  </si>
  <si>
    <t>لم يتم تجديد بطاقة التشغيل (فحص دوري- صيانة جهاز التتبع)</t>
  </si>
  <si>
    <t>ا س ق 7821</t>
  </si>
  <si>
    <t>اسبير</t>
  </si>
  <si>
    <t>أ س ق 7775</t>
  </si>
  <si>
    <t>تحديد بطاقة التشغيل (صيانة جهاز التتبع)</t>
  </si>
  <si>
    <t>معطلة</t>
  </si>
  <si>
    <t>أ س م 8022</t>
  </si>
  <si>
    <t>ورشة خارجية لم يتم تجهيزها للتأمين (بطاقة التشغيل منتهية وتحتاج إلى فحص دوري)</t>
  </si>
  <si>
    <t>ا س ق 7920</t>
  </si>
  <si>
    <t>1447-05-16</t>
  </si>
  <si>
    <t>عطل في المكيف</t>
  </si>
  <si>
    <t>ا ر ع 2232</t>
  </si>
  <si>
    <t>السائقون في إجازة</t>
  </si>
  <si>
    <t>محمد يونس</t>
  </si>
  <si>
    <t>سراج ثاندو عبدول</t>
  </si>
  <si>
    <t>منتهي</t>
  </si>
  <si>
    <t>متغيب عن العمل</t>
  </si>
  <si>
    <t>نديم فضل سبحان</t>
  </si>
  <si>
    <t>الفحص الدوري</t>
  </si>
  <si>
    <t>رخصة السير</t>
  </si>
  <si>
    <t>بطاقة السائق</t>
  </si>
  <si>
    <t>بطاقة التشغيل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</si>
</sst>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9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6"/>
      <color rgb="FFFFFFFF"/>
      <name val="Arial"/>
      <charset val="1"/>
    </font>
    <font>
      <b/>
      <sz val="12"/>
      <color rgb="FF1F3864"/>
      <name val="Arial"/>
      <charset val="1"/>
    </font>
    <font>
      <b/>
      <sz val="11"/>
      <color rgb="FF1F3864"/>
      <name val="Arial"/>
      <charset val="1"/>
    </font>
    <font>
      <b/>
      <sz val="10"/>
      <color rgb="FFFFFFFF"/>
      <name val="Arial"/>
      <charset val="1"/>
    </font>
    <font>
      <b/>
      <sz val="20"/>
      <color rgb="FF2E5597"/>
      <name val="Arial"/>
      <charset val="1"/>
    </font>
    <font>
      <b/>
      <sz val="20"/>
      <color rgb="FF2E7D32"/>
      <name val="Arial"/>
      <charset val="1"/>
    </font>
    <font>
      <b/>
      <sz val="20"/>
      <color rgb="FFC62828"/>
      <name val="Arial"/>
      <charset val="1"/>
    </font>
    <font>
      <b/>
      <sz val="20"/>
      <color rgb="FF8E24AA"/>
      <name val="Arial"/>
      <charset val="1"/>
    </font>
    <font>
      <b/>
      <sz val="20"/>
      <color rgb="FFEF6C00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color rgb="FF9C0006"/>
      <name val="Arial"/>
      <charset val="1"/>
    </font>
    <font>
      <b/>
      <sz val="11"/>
      <color rgb="FF9C6500"/>
      <name val="Arial"/>
      <charset val="1"/>
    </font>
    <font>
      <i/>
      <sz val="8"/>
      <color rgb="FF999999"/>
      <name val="Arial"/>
      <charset val="1"/>
    </font>
    <font>
      <i/>
      <sz val="9"/>
      <color rgb="FF808080"/>
      <name val="Arial"/>
      <charset val="1"/>
    </font>
    <font>
      <b/>
      <sz val="11"/>
      <name val="Arial"/>
      <charset val="1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10"/>
      <name val="Arial"/>
      <family val="2"/>
    </font>
    <font>
      <i/>
      <sz val="11"/>
      <color rgb="FF7F7F7F"/>
      <name val="Calibri"/>
      <family val="2"/>
      <scheme val="minor"/>
    </font>
    <font>
      <i/>
      <sz val="10"/>
      <color rgb="FF7F7F7F"/>
      <name val="Calibri"/>
      <family val="2"/>
      <scheme val="minor"/>
    </font>
    <font>
      <sz val="10"/>
      <color rgb="FF9C0006"/>
      <name val="Calibri"/>
      <family val="2"/>
      <scheme val="minor"/>
    </font>
    <font>
      <sz val="8"/>
      <color rgb="FFFFFFFF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597"/>
        <bgColor rgb="FF1F3864"/>
      </patternFill>
    </fill>
    <fill>
      <patternFill patternType="solid">
        <fgColor rgb="FFC62828"/>
        <bgColor rgb="FFC0504D"/>
      </patternFill>
    </fill>
    <fill>
      <patternFill patternType="solid">
        <fgColor rgb="FFEF6C00"/>
        <bgColor rgb="FFFF9900"/>
      </patternFill>
    </fill>
    <fill>
      <patternFill patternType="solid">
        <fgColor rgb="FFFFFFFF"/>
        <bgColor rgb="FFF9F9F9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D9D9D9"/>
      </patternFill>
    </fill>
    <fill>
      <patternFill patternType="solid">
        <fgColor rgb="FFD9E2F3"/>
        <bgColor rgb="FFD9D9D9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8">
    <xf numFmtId="0" fontId="0" fillId="0" borderId="0"/>
    <xf numFmtId="0" fontId="19" fillId="10" borderId="0"/>
    <xf numFmtId="0" fontId="22" fillId="11" borderId="0"/>
    <xf numFmtId="0" fontId="1" fillId="12" borderId="0"/>
    <xf numFmtId="0" fontId="22" fillId="13" borderId="0"/>
    <xf numFmtId="0" fontId="1" fillId="14" borderId="0"/>
    <xf numFmtId="0" fontId="1" fillId="15" borderId="0"/>
    <xf numFmtId="0" fontId="25" fillId="0" borderId="0"/>
  </cellStyleXfs>
  <cellXfs count="39">
    <xf numFmtId="0" fontId="0" fillId="0" borderId="0" xfId="0"/>
    <xf numFmtId="164" fontId="0" fillId="0" borderId="0" xfId="0" applyNumberFormat="1"/>
    <xf numFmtId="164" fontId="4" fillId="0" borderId="0" xfId="0" applyNumberFormat="1" applyFont="1"/>
    <xf numFmtId="0" fontId="12" fillId="3" borderId="2" xfId="0" applyFont="1" applyFill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16" fillId="0" borderId="0" xfId="0" applyFont="1"/>
    <xf numFmtId="0" fontId="17" fillId="0" borderId="0" xfId="0" applyFont="1"/>
    <xf numFmtId="0" fontId="13" fillId="0" borderId="2" xfId="0" applyFont="1" applyBorder="1" applyAlignment="1">
      <alignment horizontal="center" vertical="center" wrapText="1"/>
    </xf>
    <xf numFmtId="0" fontId="18" fillId="9" borderId="2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" fillId="12" borderId="3" xfId="3" applyBorder="1"/>
    <xf numFmtId="0" fontId="20" fillId="11" borderId="2" xfId="2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19" fillId="10" borderId="2" xfId="1" applyBorder="1" applyAlignment="1">
      <alignment horizontal="center" vertical="center" wrapText="1"/>
    </xf>
    <xf numFmtId="164" fontId="19" fillId="10" borderId="2" xfId="1" applyNumberFormat="1" applyBorder="1" applyAlignment="1">
      <alignment horizontal="center" vertical="center" wrapText="1"/>
    </xf>
    <xf numFmtId="0" fontId="26" fillId="16" borderId="0" xfId="7" applyFont="1" applyFill="1"/>
    <xf numFmtId="0" fontId="3" fillId="0" borderId="0" xfId="0" applyFont="1"/>
    <xf numFmtId="0" fontId="27" fillId="10" borderId="2" xfId="1" applyFont="1" applyBorder="1" applyAlignment="1">
      <alignment horizontal="center" vertical="center" wrapText="1"/>
    </xf>
    <xf numFmtId="0" fontId="28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11" fillId="4" borderId="0" xfId="0" applyFont="1" applyFill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6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21" fillId="14" borderId="1" xfId="5" applyFont="1" applyBorder="1" applyAlignment="1">
      <alignment horizontal="center" vertical="center" wrapText="1"/>
    </xf>
    <xf numFmtId="0" fontId="20" fillId="11" borderId="1" xfId="2" applyFont="1" applyBorder="1" applyAlignment="1">
      <alignment horizontal="center" vertical="center" wrapText="1"/>
    </xf>
    <xf numFmtId="0" fontId="21" fillId="15" borderId="1" xfId="6" applyFont="1" applyBorder="1" applyAlignment="1">
      <alignment horizontal="center" vertical="center" wrapText="1"/>
    </xf>
    <xf numFmtId="0" fontId="20" fillId="13" borderId="1" xfId="4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3" fillId="0" borderId="0" xfId="0" applyFont="1"/>
    <xf numFmtId="14" fontId="13" fillId="0" borderId="2" xfId="0" applyNumberFormat="1" applyFont="1" applyBorder="1" applyAlignment="1">
      <alignment horizontal="center" vertical="center" wrapText="1"/>
    </xf>
  </cellXfs>
  <cellStyles count="8">
    <cellStyle name="20% - تمييز1" xfId="3" builtinId="30"/>
    <cellStyle name="20% - تمييز4" xfId="6" builtinId="42"/>
    <cellStyle name="40% - تمييز3" xfId="5" builtinId="39"/>
    <cellStyle name="تمييز1" xfId="2" builtinId="29"/>
    <cellStyle name="تمييز2" xfId="4" builtinId="33"/>
    <cellStyle name="سيئ" xfId="1" builtinId="27"/>
    <cellStyle name="عادي" xfId="0" builtinId="0"/>
    <cellStyle name="نص توضيحي" xfId="7" builtinId="53"/>
  </cellStyles>
  <dxfs count="26">
    <dxf>
      <font>
        <color rgb="FF006100"/>
        <name val="Arial"/>
      </font>
      <fill>
        <patternFill>
          <bgColor rgb="FFC6EFCE"/>
        </patternFill>
      </fill>
    </dxf>
    <dxf>
      <font>
        <color rgb="FF9C65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006100"/>
        <name val="Arial"/>
      </font>
      <fill>
        <patternFill>
          <bgColor rgb="FFC6EFCE"/>
        </patternFill>
      </fill>
    </dxf>
    <dxf>
      <font>
        <color rgb="FF9C65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006100"/>
        <name val="Arial"/>
      </font>
      <fill>
        <patternFill>
          <bgColor rgb="FFC6EFCE"/>
        </patternFill>
      </fill>
    </dxf>
    <dxf>
      <font>
        <color rgb="FF9C65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006100"/>
        <name val="Arial"/>
      </font>
      <fill>
        <patternFill>
          <bgColor rgb="FFC6EFCE"/>
        </patternFill>
      </fill>
    </dxf>
    <dxf>
      <font>
        <color rgb="FF9C65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006100"/>
        <name val="Arial"/>
      </font>
      <fill>
        <patternFill>
          <bgColor rgb="FFC6EFCE"/>
        </patternFill>
      </fill>
    </dxf>
    <dxf>
      <font>
        <color rgb="FF9C65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006100"/>
        <name val="Arial"/>
      </font>
      <fill>
        <patternFill>
          <bgColor rgb="FFC6EFCE"/>
        </patternFill>
      </fill>
    </dxf>
    <dxf>
      <font>
        <color rgb="FF9C65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006100"/>
        <name val="Arial"/>
      </font>
      <fill>
        <patternFill>
          <bgColor rgb="FFC6EFCE"/>
        </patternFill>
      </fill>
    </dxf>
    <dxf>
      <font>
        <color rgb="FF9C65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006100"/>
        <name val="Arial"/>
      </font>
      <fill>
        <patternFill>
          <bgColor rgb="FFC6EFCE"/>
        </patternFill>
      </fill>
    </dxf>
    <dxf>
      <font>
        <color rgb="FF9C65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b/>
        <color rgb="FF9C6500"/>
        <name val="Arial"/>
      </font>
      <fill>
        <patternFill patternType="solid">
          <fgColor rgb="FFFFEB9C"/>
        </patternFill>
      </fill>
    </dxf>
    <dxf>
      <font>
        <b/>
        <color rgb="FF9C0006"/>
        <name val="Arial"/>
      </font>
      <fill>
        <patternFill patternType="solid">
          <f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878787"/>
      <rgbColor rgb="FF8E24AA"/>
      <rgbColor rgb="FFF9F9F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F6C00"/>
      <rgbColor rgb="FF4F81BD"/>
      <rgbColor rgb="FF999999"/>
      <rgbColor rgb="FF1F3864"/>
      <rgbColor rgb="FF2E7D32"/>
      <rgbColor rgb="FF003300"/>
      <rgbColor rgb="FF333300"/>
      <rgbColor rgb="FFC62828"/>
      <rgbColor rgb="FFC0504D"/>
      <rgbColor rgb="FF2E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توزيع السائقين: موصل / موزع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57C-42E7-9F77-8FD1AA298B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57C-42E7-9F77-8FD1AA298BD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'لوحة المعلومات'!$A$19:$A$20</c:f>
              <c:strCache>
                <c:ptCount val="2"/>
                <c:pt idx="0">
                  <c:v>موصل</c:v>
                </c:pt>
                <c:pt idx="1">
                  <c:v>موزع</c:v>
                </c:pt>
              </c:strCache>
            </c:strRef>
          </c:cat>
          <c:val>
            <c:numRef>
              <c:f>'لوحة المعلومات'!$B$19:$B$20</c:f>
              <c:numCache>
                <c:formatCode>General</c:formatCode>
                <c:ptCount val="2"/>
                <c:pt idx="0">
                  <c:v>16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7C-42E7-9F77-8FD1AA298BD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عدد المركبات حسب النوع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'لوحة المعلومات'!$A$21:$A$25</c:f>
              <c:strCache>
                <c:ptCount val="5"/>
                <c:pt idx="0">
                  <c:v>ايسوزو دينا</c:v>
                </c:pt>
                <c:pt idx="1">
                  <c:v>ايسوزو لوري</c:v>
                </c:pt>
                <c:pt idx="2">
                  <c:v>متسوبيشي دينا</c:v>
                </c:pt>
                <c:pt idx="3">
                  <c:v>متسوبيشي لوري</c:v>
                </c:pt>
                <c:pt idx="4">
                  <c:v>هينو  دينا</c:v>
                </c:pt>
              </c:strCache>
            </c:strRef>
          </c:cat>
          <c:val>
            <c:numRef>
              <c:f>'لوحة المعلومات'!$B$21:$B$25</c:f>
              <c:numCache>
                <c:formatCode>General</c:formatCode>
                <c:ptCount val="5"/>
                <c:pt idx="0">
                  <c:v>6</c:v>
                </c:pt>
                <c:pt idx="1">
                  <c:v>13</c:v>
                </c:pt>
                <c:pt idx="2">
                  <c:v>8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0-4CC0-B0F7-576CD871F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645125"/>
        <c:axId val="12723607"/>
      </c:barChart>
      <c:catAx>
        <c:axId val="576451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723607"/>
        <c:crosses val="autoZero"/>
        <c:auto val="1"/>
        <c:lblAlgn val="ctr"/>
        <c:lblOffset val="100"/>
        <c:noMultiLvlLbl val="0"/>
      </c:catAx>
      <c:valAx>
        <c:axId val="127236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64512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38865</xdr:colOff>
      <xdr:row>7</xdr:row>
      <xdr:rowOff>76200</xdr:rowOff>
    </xdr:from>
    <xdr:to>
      <xdr:col>9</xdr:col>
      <xdr:colOff>372240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119101</xdr:colOff>
      <xdr:row>16</xdr:row>
      <xdr:rowOff>28575</xdr:rowOff>
    </xdr:from>
    <xdr:to>
      <xdr:col>5</xdr:col>
      <xdr:colOff>1704976</xdr:colOff>
      <xdr:row>29</xdr:row>
      <xdr:rowOff>71775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showGridLines="0" rightToLeft="1" topLeftCell="A7" zoomScale="149" zoomScaleNormal="100" workbookViewId="0">
      <selection activeCell="E13" sqref="E13"/>
    </sheetView>
  </sheetViews>
  <sheetFormatPr defaultColWidth="8.7109375" defaultRowHeight="15" x14ac:dyDescent="0.25"/>
  <cols>
    <col min="1" max="1" width="17.7109375" customWidth="1"/>
    <col min="2" max="2" width="24" customWidth="1"/>
    <col min="3" max="3" width="13" customWidth="1"/>
    <col min="4" max="4" width="15" customWidth="1"/>
    <col min="5" max="5" width="14" customWidth="1"/>
    <col min="6" max="6" width="26" customWidth="1"/>
    <col min="7" max="7" width="14.140625" customWidth="1"/>
    <col min="8" max="8" width="11" customWidth="1"/>
    <col min="10" max="10" width="11" customWidth="1"/>
  </cols>
  <sheetData>
    <row r="1" spans="1:12" ht="30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5.75" customHeight="1" x14ac:dyDescent="0.25">
      <c r="A2" s="19" t="s">
        <v>1</v>
      </c>
      <c r="B2" s="1">
        <v>46194</v>
      </c>
      <c r="D2" s="19" t="s">
        <v>2</v>
      </c>
      <c r="E2" s="2">
        <f ca="1">TODAY()</f>
        <v>46216</v>
      </c>
    </row>
    <row r="4" spans="1:12" ht="15" customHeight="1" x14ac:dyDescent="0.25">
      <c r="A4" s="32" t="s">
        <v>3</v>
      </c>
      <c r="B4" s="26"/>
      <c r="C4" s="31" t="s">
        <v>4</v>
      </c>
      <c r="D4" s="26"/>
      <c r="E4" s="34" t="s">
        <v>5</v>
      </c>
      <c r="F4" s="26"/>
      <c r="G4" s="33" t="s">
        <v>6</v>
      </c>
      <c r="H4" s="26"/>
      <c r="I4" s="35" t="s">
        <v>7</v>
      </c>
      <c r="J4" s="26"/>
    </row>
    <row r="5" spans="1:12" ht="31.5" customHeight="1" x14ac:dyDescent="0.25">
      <c r="A5" s="27">
        <f>COUNTA('المركبات النشطة'!B5:B34)</f>
        <v>30</v>
      </c>
      <c r="B5" s="26"/>
      <c r="C5" s="25">
        <f>COUNTIF('المركبات النشطة'!E5:E34,"موصل")</f>
        <v>16</v>
      </c>
      <c r="D5" s="26"/>
      <c r="E5" s="29">
        <f>COUNTIF('المركبات النشطة'!E5:E34,"موزع")</f>
        <v>14</v>
      </c>
      <c r="F5" s="26"/>
      <c r="G5" s="28">
        <f>COUNTA('السائقون في إجازة'!B4:B6)</f>
        <v>3</v>
      </c>
      <c r="H5" s="26"/>
      <c r="I5" s="30">
        <f>COUNTA('الأسبير والمعطلة'!A4:A9)</f>
        <v>6</v>
      </c>
      <c r="J5" s="26"/>
    </row>
    <row r="7" spans="1:12" ht="24" customHeight="1" x14ac:dyDescent="0.25">
      <c r="A7" s="24" t="s">
        <v>8</v>
      </c>
      <c r="B7" s="23"/>
      <c r="C7" s="23"/>
      <c r="D7" s="23"/>
      <c r="E7" s="23"/>
      <c r="F7" s="23"/>
      <c r="G7" s="23"/>
      <c r="H7" s="23"/>
    </row>
    <row r="8" spans="1:12" x14ac:dyDescent="0.25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</row>
    <row r="9" spans="1:12" x14ac:dyDescent="0.25">
      <c r="A9" s="9">
        <f ca="1">IF($G9="","",1)</f>
        <v>1</v>
      </c>
      <c r="B9" s="9" t="str">
        <f ca="1">IF($G9="","",INDEX(بيانات_الربط!$A$2:$A$121,MATCH($G9,بيانات_الربط!$F$2:$F$121,0)))</f>
        <v>كابيل مياه</v>
      </c>
      <c r="C9" s="9" t="str">
        <f ca="1">IF($G9="","",INDEX(بيانات_الربط!$B$2:$B$121,MATCH($G9,بيانات_الربط!$F$2:$F$121,0)))</f>
        <v>ا س ح  8714</v>
      </c>
      <c r="D9" s="9" t="str">
        <f ca="1">IF($G9="","",INDEX(بيانات_الربط!$C$2:$C$121,MATCH($G9,بيانات_الربط!$F$2:$F$121,0)))</f>
        <v>بطاقة السائق</v>
      </c>
      <c r="E9" s="4">
        <f ca="1">IF($G9="","",INDEX(بيانات_الربط!$D$2:$D$121,MATCH($G9,بيانات_الربط!$F$2:$F$121,0)))</f>
        <v>46198</v>
      </c>
      <c r="F9" s="5">
        <f ca="1">IF($G9="","",INDEX(بيانات_الربط!$E$2:$E$121,MATCH($G9,بيانات_الربط!$F$2:$F$121,0)))</f>
        <v>-18</v>
      </c>
      <c r="G9" s="21">
        <f ca="1">IFERROR(SMALL(بيانات_الربط!$F$2:$F$121,1),"")</f>
        <v>-17.99935</v>
      </c>
    </row>
    <row r="10" spans="1:12" x14ac:dyDescent="0.25">
      <c r="A10" s="9">
        <f ca="1">IF($G10="","",2)</f>
        <v>2</v>
      </c>
      <c r="B10" s="9" t="str">
        <f ca="1">IF($G10="","",INDEX(بيانات_الربط!$A$2:$A$121,MATCH($G10,بيانات_الربط!$F$2:$F$121,0)))</f>
        <v>ابراهيم محمد ابوزيد محمد</v>
      </c>
      <c r="C10" s="9" t="str">
        <f ca="1">IF($G10="","",INDEX(بيانات_الربط!$B$2:$B$121,MATCH($G10,بيانات_الربط!$F$2:$F$121,0)))</f>
        <v>أ ر ع  2233</v>
      </c>
      <c r="D10" s="9" t="str">
        <f ca="1">IF($G10="","",INDEX(بيانات_الربط!$C$2:$C$121,MATCH($G10,بيانات_الربط!$F$2:$F$121,0)))</f>
        <v>الفحص الدوري</v>
      </c>
      <c r="E10" s="4">
        <f ca="1">IF($G10="","",INDEX(بيانات_الربط!$D$2:$D$121,MATCH($G10,بيانات_الربط!$F$2:$F$121,0)))</f>
        <v>46213</v>
      </c>
      <c r="F10" s="5">
        <f ca="1">IF($G10="","",INDEX(بيانات_الربط!$E$2:$E$121,MATCH($G10,بيانات_الربط!$F$2:$F$121,0)))</f>
        <v>-3</v>
      </c>
      <c r="G10" s="21">
        <f ca="1">IFERROR(SMALL(بيانات_الربط!$F$2:$F$121,2),"")</f>
        <v>-2.9998999999999998</v>
      </c>
    </row>
    <row r="11" spans="1:12" x14ac:dyDescent="0.25">
      <c r="A11" s="9">
        <f ca="1">IF($G11="","",3)</f>
        <v>3</v>
      </c>
      <c r="B11" s="9" t="str">
        <f ca="1">IF($G11="","",INDEX(بيانات_الربط!$A$2:$A$121,MATCH($G11,بيانات_الربط!$F$2:$F$121,0)))</f>
        <v>شوكت علي</v>
      </c>
      <c r="C11" s="9" t="str">
        <f ca="1">IF($G11="","",INDEX(بيانات_الربط!$B$2:$B$121,MATCH($G11,بيانات_الربط!$F$2:$F$121,0)))</f>
        <v>أ س ر 8873</v>
      </c>
      <c r="D11" s="9" t="str">
        <f ca="1">IF($G11="","",INDEX(بيانات_الربط!$C$2:$C$121,MATCH($G11,بيانات_الربط!$F$2:$F$121,0)))</f>
        <v>رخصة السير</v>
      </c>
      <c r="E11" s="4">
        <f ca="1">IF($G11="","",INDEX(بيانات_الربط!$D$2:$D$121,MATCH($G11,بيانات_الربط!$F$2:$F$121,0)))</f>
        <v>46241</v>
      </c>
      <c r="F11" s="5">
        <f ca="1">IF($G11="","",INDEX(بيانات_الربط!$E$2:$E$121,MATCH($G11,بيانات_الربط!$F$2:$F$121,0)))</f>
        <v>25</v>
      </c>
      <c r="G11" s="21">
        <f ca="1">IFERROR(SMALL(بيانات_الربط!$F$2:$F$121,3),"")</f>
        <v>25.00057</v>
      </c>
    </row>
    <row r="12" spans="1:12" x14ac:dyDescent="0.25">
      <c r="A12" s="9">
        <f ca="1">IF($G12="","",4)</f>
        <v>4</v>
      </c>
      <c r="B12" s="9" t="str">
        <f ca="1">IF($G12="","",INDEX(بيانات_الربط!$A$2:$A$121,MATCH($G12,بيانات_الربط!$F$2:$F$121,0)))</f>
        <v>احمد دنقل</v>
      </c>
      <c r="C12" s="9" t="str">
        <f ca="1">IF($G12="","",INDEX(بيانات_الربط!$B$2:$B$121,MATCH($G12,بيانات_الربط!$F$2:$F$121,0)))</f>
        <v>ا ص ا 7810</v>
      </c>
      <c r="D12" s="9" t="str">
        <f ca="1">IF($G12="","",INDEX(بيانات_الربط!$C$2:$C$121,MATCH($G12,بيانات_الربط!$F$2:$F$121,0)))</f>
        <v>الفحص الدوري</v>
      </c>
      <c r="E12" s="4">
        <f ca="1">IF($G12="","",INDEX(بيانات_الربط!$D$2:$D$121,MATCH($G12,بيانات_الربط!$F$2:$F$121,0)))</f>
        <v>46258</v>
      </c>
      <c r="F12" s="5">
        <f ca="1">IF($G12="","",INDEX(بيانات_الربط!$E$2:$E$121,MATCH($G12,بيانات_الربط!$F$2:$F$121,0)))</f>
        <v>42</v>
      </c>
      <c r="G12" s="21">
        <f ca="1">IFERROR(SMALL(بيانات_الربط!$F$2:$F$121,4),"")</f>
        <v>42.000300000000003</v>
      </c>
    </row>
    <row r="13" spans="1:12" x14ac:dyDescent="0.25">
      <c r="A13" s="9">
        <f ca="1">IF($G13="","",5)</f>
        <v>5</v>
      </c>
      <c r="B13" s="9" t="str">
        <f ca="1">IF($G13="","",INDEX(بيانات_الربط!$A$2:$A$121,MATCH($G13,بيانات_الربط!$F$2:$F$121,0)))</f>
        <v>تنفير حسين</v>
      </c>
      <c r="C13" s="9" t="str">
        <f ca="1">IF($G13="","",INDEX(بيانات_الربط!$B$2:$B$121,MATCH($G13,بيانات_الربط!$F$2:$F$121,0)))</f>
        <v>ا ر ع  2234</v>
      </c>
      <c r="D13" s="9" t="str">
        <f ca="1">IF($G13="","",INDEX(بيانات_الربط!$C$2:$C$121,MATCH($G13,بيانات_الربط!$F$2:$F$121,0)))</f>
        <v>رخصة السير</v>
      </c>
      <c r="E13" s="4">
        <f ca="1">IF($G13="","",INDEX(بيانات_الربط!$D$2:$D$121,MATCH($G13,بيانات_الربط!$F$2:$F$121,0)))</f>
        <v>46272</v>
      </c>
      <c r="F13" s="5">
        <f ca="1">IF($G13="","",INDEX(بيانات_الربط!$E$2:$E$121,MATCH($G13,بيانات_الربط!$F$2:$F$121,0)))</f>
        <v>56</v>
      </c>
      <c r="G13" s="21">
        <f ca="1">IFERROR(SMALL(بيانات_الربط!$F$2:$F$121,5),"")</f>
        <v>56.000360000000001</v>
      </c>
    </row>
    <row r="14" spans="1:12" x14ac:dyDescent="0.25">
      <c r="A14" s="9">
        <f ca="1">IF($G14="","",6)</f>
        <v>6</v>
      </c>
      <c r="B14" s="9" t="str">
        <f ca="1">IF($G14="","",INDEX(بيانات_الربط!$A$2:$A$121,MATCH($G14,بيانات_الربط!$F$2:$F$121,0)))</f>
        <v>ابراهيم محمد ابوزيد محمد</v>
      </c>
      <c r="C14" s="9" t="str">
        <f ca="1">IF($G14="","",INDEX(بيانات_الربط!$B$2:$B$121,MATCH($G14,بيانات_الربط!$F$2:$F$121,0)))</f>
        <v>أ ر ع  2233</v>
      </c>
      <c r="D14" s="9" t="str">
        <f ca="1">IF($G14="","",INDEX(بيانات_الربط!$C$2:$C$121,MATCH($G14,بيانات_الربط!$F$2:$F$121,0)))</f>
        <v>رخصة السير</v>
      </c>
      <c r="E14" s="4">
        <f ca="1">IF($G14="","",INDEX(بيانات_الربط!$D$2:$D$121,MATCH($G14,بيانات_الربط!$F$2:$F$121,0)))</f>
        <v>46272</v>
      </c>
      <c r="F14" s="5">
        <f ca="1">IF($G14="","",INDEX(بيانات_الربط!$E$2:$E$121,MATCH($G14,بيانات_الربط!$F$2:$F$121,0)))</f>
        <v>56</v>
      </c>
      <c r="G14" s="21">
        <f ca="1">IFERROR(SMALL(بيانات_الربط!$F$2:$F$121,6),"")</f>
        <v>56.000399999999999</v>
      </c>
    </row>
    <row r="15" spans="1:12" x14ac:dyDescent="0.25">
      <c r="A15" s="9">
        <f ca="1">IF($G15="","",7)</f>
        <v>7</v>
      </c>
      <c r="B15" s="9" t="str">
        <f ca="1">IF($G15="","",INDEX(بيانات_الربط!$A$2:$A$121,MATCH($G15,بيانات_الربط!$F$2:$F$121,0)))</f>
        <v>مد سيف الاسلام</v>
      </c>
      <c r="C15" s="9" t="str">
        <f ca="1">IF($G15="","",INDEX(بيانات_الربط!$B$2:$B$121,MATCH($G15,بيانات_الربط!$F$2:$F$121,0)))</f>
        <v>ا ر ع 2240</v>
      </c>
      <c r="D15" s="9" t="str">
        <f ca="1">IF($G15="","",INDEX(بيانات_الربط!$C$2:$C$121,MATCH($G15,بيانات_الربط!$F$2:$F$121,0)))</f>
        <v>رخصة السير</v>
      </c>
      <c r="E15" s="4">
        <f ca="1">IF($G15="","",INDEX(بيانات_الربط!$D$2:$D$121,MATCH($G15,بيانات_الربط!$F$2:$F$121,0)))</f>
        <v>46272</v>
      </c>
      <c r="F15" s="6">
        <f ca="1">IF($G15="","",INDEX(بيانات_الربط!$E$2:$E$121,MATCH($G15,بيانات_الربط!$F$2:$F$121,0)))</f>
        <v>56</v>
      </c>
      <c r="G15" s="21">
        <f ca="1">IFERROR(SMALL(بيانات_الربط!$F$2:$F$121,7),"")</f>
        <v>56.00056</v>
      </c>
    </row>
    <row r="18" spans="1:2" x14ac:dyDescent="0.25">
      <c r="A18" s="7"/>
    </row>
    <row r="19" spans="1:2" x14ac:dyDescent="0.25">
      <c r="A19" s="13" t="s">
        <v>15</v>
      </c>
      <c r="B19" s="13">
        <f>COUNTIF('المركبات النشطة'!E5:E34,"موصل")</f>
        <v>16</v>
      </c>
    </row>
    <row r="20" spans="1:2" x14ac:dyDescent="0.25">
      <c r="A20" s="13" t="s">
        <v>16</v>
      </c>
      <c r="B20" s="13">
        <f>COUNTIF('المركبات النشطة'!E5:E34,"موزع")</f>
        <v>14</v>
      </c>
    </row>
    <row r="21" spans="1:2" x14ac:dyDescent="0.25">
      <c r="A21" s="13" t="s">
        <v>17</v>
      </c>
      <c r="B21" s="13">
        <f>COUNTIF('المركبات النشطة'!H5:H34,"ايسوزو دينا")</f>
        <v>6</v>
      </c>
    </row>
    <row r="22" spans="1:2" x14ac:dyDescent="0.25">
      <c r="A22" s="13" t="s">
        <v>18</v>
      </c>
      <c r="B22" s="13">
        <f>COUNTIF('المركبات النشطة'!H5:H34,"ايسوزو لوري")</f>
        <v>13</v>
      </c>
    </row>
    <row r="23" spans="1:2" x14ac:dyDescent="0.25">
      <c r="A23" s="13" t="s">
        <v>19</v>
      </c>
      <c r="B23" s="13">
        <f>COUNTIF('المركبات النشطة'!H5:H34,"متسوبيشي دينا")</f>
        <v>8</v>
      </c>
    </row>
    <row r="24" spans="1:2" x14ac:dyDescent="0.25">
      <c r="A24" s="13" t="s">
        <v>20</v>
      </c>
      <c r="B24" s="13">
        <f>COUNTIF('المركبات النشطة'!H5:H34,"متسوبيشي لوري")</f>
        <v>2</v>
      </c>
    </row>
    <row r="25" spans="1:2" x14ac:dyDescent="0.25">
      <c r="A25" s="13" t="s">
        <v>21</v>
      </c>
      <c r="B25" s="13">
        <f>COUNTIF('المركبات النشطة'!H5:H34,"هينو  دينا")</f>
        <v>1</v>
      </c>
    </row>
    <row r="27" spans="1:2" x14ac:dyDescent="0.25">
      <c r="A27" s="18" t="s">
        <v>22</v>
      </c>
    </row>
    <row r="28" spans="1:2" x14ac:dyDescent="0.25">
      <c r="A28" s="8"/>
    </row>
  </sheetData>
  <sheetProtection algorithmName="SHA-512" hashValue="JaVkjHaGqWxpUKIrvNFs5yLlBWoMy/LcEodkKHDEaJYOea1mRx8TFZUFs0sZRfx2RM/2iJ3ip6OvYVFjlPq2gw==" saltValue="xsUWZSO/Tm6sf0hE8f/uxw==" spinCount="100000" sheet="1" objects="1" scenarios="1"/>
  <mergeCells count="12">
    <mergeCell ref="A7:H7"/>
    <mergeCell ref="A1:L1"/>
    <mergeCell ref="C5:D5"/>
    <mergeCell ref="A5:B5"/>
    <mergeCell ref="G5:H5"/>
    <mergeCell ref="E5:F5"/>
    <mergeCell ref="I5:J5"/>
    <mergeCell ref="C4:D4"/>
    <mergeCell ref="A4:B4"/>
    <mergeCell ref="G4:H4"/>
    <mergeCell ref="E4:F4"/>
    <mergeCell ref="I4:J4"/>
  </mergeCells>
  <conditionalFormatting sqref="F9:F15">
    <cfRule type="expression" dxfId="25" priority="1">
      <formula>AND(ISNUMBER(F9),F9&lt;0)</formula>
    </cfRule>
    <cfRule type="expression" dxfId="24" priority="2">
      <formula>AND(ISNUMBER(F9),F9&gt;=0,F9&lt;=30)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4"/>
  <sheetViews>
    <sheetView rightToLeft="1" tabSelected="1" zoomScale="85" zoomScaleNormal="85" workbookViewId="0">
      <pane ySplit="4" topLeftCell="A22" activePane="bottomLeft" state="frozen"/>
      <selection pane="bottomLeft" activeCell="L13" sqref="L13"/>
    </sheetView>
  </sheetViews>
  <sheetFormatPr defaultColWidth="8.7109375" defaultRowHeight="15" x14ac:dyDescent="0.25"/>
  <cols>
    <col min="1" max="1" width="4" customWidth="1"/>
    <col min="2" max="2" width="12" customWidth="1"/>
    <col min="3" max="3" width="24" customWidth="1"/>
    <col min="4" max="4" width="13" customWidth="1"/>
    <col min="5" max="5" width="9" customWidth="1"/>
    <col min="6" max="6" width="13" customWidth="1"/>
    <col min="7" max="7" width="9" customWidth="1"/>
    <col min="8" max="8" width="15" customWidth="1"/>
    <col min="9" max="9" width="9" customWidth="1"/>
    <col min="10" max="10" width="8" customWidth="1"/>
    <col min="11" max="11" width="12" customWidth="1"/>
    <col min="12" max="12" width="13" customWidth="1"/>
    <col min="13" max="13" width="10" customWidth="1"/>
    <col min="14" max="14" width="13" customWidth="1"/>
    <col min="15" max="15" width="10" customWidth="1"/>
    <col min="16" max="16" width="13" customWidth="1"/>
    <col min="17" max="17" width="10" customWidth="1"/>
    <col min="18" max="18" width="13" customWidth="1"/>
    <col min="19" max="19" width="10" customWidth="1"/>
    <col min="20" max="20" width="22" customWidth="1"/>
    <col min="21" max="21" width="12" customWidth="1"/>
  </cols>
  <sheetData>
    <row r="1" spans="1:21" ht="30" customHeight="1" x14ac:dyDescent="0.25">
      <c r="A1" s="36" t="s">
        <v>23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ht="15.75" customHeight="1" x14ac:dyDescent="0.25">
      <c r="A2" s="37" t="s">
        <v>1</v>
      </c>
      <c r="B2" s="23"/>
      <c r="T2" s="2">
        <f ca="1">TODAY()</f>
        <v>46216</v>
      </c>
      <c r="U2" s="19" t="s">
        <v>2</v>
      </c>
    </row>
    <row r="4" spans="1:21" ht="36" customHeight="1" x14ac:dyDescent="0.25">
      <c r="A4" s="3" t="s">
        <v>9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11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  <c r="M4" s="3" t="s">
        <v>14</v>
      </c>
      <c r="N4" s="3" t="s">
        <v>34</v>
      </c>
      <c r="O4" s="3" t="s">
        <v>14</v>
      </c>
      <c r="P4" s="3" t="s">
        <v>35</v>
      </c>
      <c r="Q4" s="3" t="s">
        <v>14</v>
      </c>
      <c r="R4" s="3" t="s">
        <v>36</v>
      </c>
      <c r="S4" s="3" t="s">
        <v>14</v>
      </c>
      <c r="T4" s="3" t="s">
        <v>37</v>
      </c>
      <c r="U4" s="3" t="s">
        <v>38</v>
      </c>
    </row>
    <row r="5" spans="1:21" x14ac:dyDescent="0.25">
      <c r="A5" s="9">
        <v>1</v>
      </c>
      <c r="B5" s="9">
        <v>100310</v>
      </c>
      <c r="C5" s="9" t="s">
        <v>39</v>
      </c>
      <c r="D5" s="9">
        <v>2253252916</v>
      </c>
      <c r="E5" s="9" t="s">
        <v>15</v>
      </c>
      <c r="F5" s="9" t="s">
        <v>40</v>
      </c>
      <c r="G5" s="9">
        <v>2023</v>
      </c>
      <c r="H5" s="9" t="s">
        <v>18</v>
      </c>
      <c r="I5" s="9">
        <v>8</v>
      </c>
      <c r="J5" s="9">
        <v>3</v>
      </c>
      <c r="K5" s="9">
        <v>17554020</v>
      </c>
      <c r="L5" s="4">
        <v>46478</v>
      </c>
      <c r="M5" s="9">
        <f t="shared" ref="M5:M34" ca="1" si="0">IF(ISNUMBER(L5),L5-TODAY(),"-")</f>
        <v>262</v>
      </c>
      <c r="N5" s="4">
        <v>46397</v>
      </c>
      <c r="O5" s="9">
        <f t="shared" ref="O5:O34" ca="1" si="1">IF(ISNUMBER(N5),N5-TODAY(),"-")</f>
        <v>181</v>
      </c>
      <c r="P5" s="4">
        <v>46515</v>
      </c>
      <c r="Q5" s="9">
        <f t="shared" ref="Q5:Q34" ca="1" si="2">IF(ISNUMBER(P5),P5-TODAY(),"-")</f>
        <v>299</v>
      </c>
      <c r="R5" s="4">
        <v>46479</v>
      </c>
      <c r="S5" s="9">
        <f t="shared" ref="S5:S34" ca="1" si="3">IF(ISNUMBER(R5),R5-TODAY(),"-")</f>
        <v>263</v>
      </c>
      <c r="T5" s="9" t="s">
        <v>41</v>
      </c>
      <c r="U5" s="9">
        <v>504125217</v>
      </c>
    </row>
    <row r="6" spans="1:21" x14ac:dyDescent="0.25">
      <c r="A6" s="9">
        <v>2</v>
      </c>
      <c r="B6" s="9">
        <v>100217</v>
      </c>
      <c r="C6" s="9" t="s">
        <v>42</v>
      </c>
      <c r="D6" s="9">
        <v>2501620039</v>
      </c>
      <c r="E6" s="9" t="s">
        <v>15</v>
      </c>
      <c r="F6" s="9" t="s">
        <v>43</v>
      </c>
      <c r="G6" s="9">
        <v>2023</v>
      </c>
      <c r="H6" s="9" t="s">
        <v>18</v>
      </c>
      <c r="I6" s="9">
        <v>8</v>
      </c>
      <c r="J6" s="9">
        <v>3</v>
      </c>
      <c r="K6" s="9">
        <v>968754020</v>
      </c>
      <c r="L6" s="4">
        <v>46309</v>
      </c>
      <c r="M6" s="9">
        <f t="shared" ca="1" si="0"/>
        <v>93</v>
      </c>
      <c r="N6" s="4">
        <v>46398</v>
      </c>
      <c r="O6" s="9">
        <f t="shared" ca="1" si="1"/>
        <v>182</v>
      </c>
      <c r="P6" s="17">
        <v>46534</v>
      </c>
      <c r="Q6" s="16">
        <f t="shared" ca="1" si="2"/>
        <v>318</v>
      </c>
      <c r="R6" s="4">
        <v>46484</v>
      </c>
      <c r="S6" s="9">
        <f t="shared" ca="1" si="3"/>
        <v>268</v>
      </c>
      <c r="T6" s="15" t="s">
        <v>44</v>
      </c>
      <c r="U6" s="9">
        <v>564915114</v>
      </c>
    </row>
    <row r="7" spans="1:21" x14ac:dyDescent="0.25">
      <c r="A7" s="9">
        <v>3</v>
      </c>
      <c r="B7" s="9">
        <v>100327</v>
      </c>
      <c r="C7" s="9" t="s">
        <v>45</v>
      </c>
      <c r="D7" s="9">
        <v>2283628259</v>
      </c>
      <c r="E7" s="9" t="s">
        <v>15</v>
      </c>
      <c r="F7" s="9" t="s">
        <v>46</v>
      </c>
      <c r="G7" s="9">
        <v>2023</v>
      </c>
      <c r="H7" s="9" t="s">
        <v>18</v>
      </c>
      <c r="I7" s="9">
        <v>8</v>
      </c>
      <c r="J7" s="9">
        <v>3</v>
      </c>
      <c r="K7" s="9">
        <v>358754020</v>
      </c>
      <c r="L7" s="4">
        <v>46309</v>
      </c>
      <c r="M7" s="9">
        <f t="shared" ca="1" si="0"/>
        <v>93</v>
      </c>
      <c r="N7" s="4">
        <v>46398</v>
      </c>
      <c r="O7" s="9">
        <f t="shared" ca="1" si="1"/>
        <v>182</v>
      </c>
      <c r="P7" s="4">
        <v>46515</v>
      </c>
      <c r="Q7" s="9">
        <f t="shared" ca="1" si="2"/>
        <v>299</v>
      </c>
      <c r="R7" s="4">
        <v>46505</v>
      </c>
      <c r="S7" s="9">
        <f t="shared" ca="1" si="3"/>
        <v>289</v>
      </c>
      <c r="T7" s="9" t="s">
        <v>41</v>
      </c>
      <c r="U7" s="9">
        <v>565369080</v>
      </c>
    </row>
    <row r="8" spans="1:21" x14ac:dyDescent="0.25">
      <c r="A8" s="9">
        <v>4</v>
      </c>
      <c r="B8" s="9">
        <v>100245</v>
      </c>
      <c r="C8" s="9" t="s">
        <v>47</v>
      </c>
      <c r="D8" s="9">
        <v>2121612820</v>
      </c>
      <c r="E8" s="9" t="s">
        <v>16</v>
      </c>
      <c r="F8" s="9" t="s">
        <v>48</v>
      </c>
      <c r="G8" s="9">
        <v>2023</v>
      </c>
      <c r="H8" s="9" t="s">
        <v>19</v>
      </c>
      <c r="I8" s="9">
        <v>4</v>
      </c>
      <c r="J8" s="9">
        <v>3</v>
      </c>
      <c r="K8" s="9">
        <v>29819910</v>
      </c>
      <c r="L8" s="4">
        <v>46295</v>
      </c>
      <c r="M8" s="9">
        <f t="shared" ca="1" si="0"/>
        <v>79</v>
      </c>
      <c r="N8" s="4">
        <v>47192</v>
      </c>
      <c r="O8" s="9">
        <f t="shared" ca="1" si="1"/>
        <v>976</v>
      </c>
      <c r="P8" s="4">
        <v>46198</v>
      </c>
      <c r="Q8" s="9">
        <f t="shared" ca="1" si="2"/>
        <v>-18</v>
      </c>
      <c r="R8" s="4">
        <v>46515</v>
      </c>
      <c r="S8" s="9">
        <f t="shared" ca="1" si="3"/>
        <v>299</v>
      </c>
      <c r="T8" s="15" t="s">
        <v>49</v>
      </c>
      <c r="U8" s="9">
        <v>567116916</v>
      </c>
    </row>
    <row r="9" spans="1:21" x14ac:dyDescent="0.25">
      <c r="A9" s="9">
        <v>5</v>
      </c>
      <c r="B9" s="9">
        <v>102179</v>
      </c>
      <c r="C9" s="9" t="s">
        <v>50</v>
      </c>
      <c r="D9" s="9">
        <v>2519784710</v>
      </c>
      <c r="E9" s="9" t="s">
        <v>15</v>
      </c>
      <c r="F9" s="9" t="s">
        <v>51</v>
      </c>
      <c r="G9" s="9">
        <v>2020</v>
      </c>
      <c r="H9" s="9" t="s">
        <v>19</v>
      </c>
      <c r="I9" s="9">
        <v>4</v>
      </c>
      <c r="J9" s="9">
        <v>3</v>
      </c>
      <c r="K9" s="9">
        <v>196860810</v>
      </c>
      <c r="L9" s="4">
        <v>46563</v>
      </c>
      <c r="M9" s="9">
        <f ca="1">IF(ISNUMBER(L9),L9-TODAY(),"-")</f>
        <v>347</v>
      </c>
      <c r="N9" s="4">
        <v>46272</v>
      </c>
      <c r="O9" s="9">
        <f t="shared" ca="1" si="1"/>
        <v>56</v>
      </c>
      <c r="P9" s="4">
        <v>46515</v>
      </c>
      <c r="Q9" s="9">
        <f t="shared" ca="1" si="2"/>
        <v>299</v>
      </c>
      <c r="R9" s="4">
        <v>46515</v>
      </c>
      <c r="S9" s="9">
        <f t="shared" ca="1" si="3"/>
        <v>299</v>
      </c>
      <c r="T9" s="9" t="s">
        <v>52</v>
      </c>
      <c r="U9" s="9">
        <v>594535961</v>
      </c>
    </row>
    <row r="10" spans="1:21" x14ac:dyDescent="0.25">
      <c r="A10" s="9">
        <v>6</v>
      </c>
      <c r="B10" s="9">
        <v>102181</v>
      </c>
      <c r="C10" s="9" t="s">
        <v>53</v>
      </c>
      <c r="D10" s="9">
        <v>2536883693</v>
      </c>
      <c r="E10" s="9" t="s">
        <v>16</v>
      </c>
      <c r="F10" s="9" t="s">
        <v>54</v>
      </c>
      <c r="G10" s="9">
        <v>2023</v>
      </c>
      <c r="H10" s="9" t="s">
        <v>18</v>
      </c>
      <c r="I10" s="9">
        <v>8</v>
      </c>
      <c r="J10" s="9">
        <v>3</v>
      </c>
      <c r="K10" s="9">
        <v>826065910</v>
      </c>
      <c r="L10" s="4">
        <v>46475</v>
      </c>
      <c r="M10" s="9">
        <f t="shared" ca="1" si="0"/>
        <v>259</v>
      </c>
      <c r="N10" s="4">
        <v>46997</v>
      </c>
      <c r="O10" s="9">
        <f t="shared" ca="1" si="1"/>
        <v>781</v>
      </c>
      <c r="P10" s="4">
        <v>46505</v>
      </c>
      <c r="Q10" s="9">
        <f t="shared" ca="1" si="2"/>
        <v>289</v>
      </c>
      <c r="R10" s="4">
        <v>46515</v>
      </c>
      <c r="S10" s="9">
        <f t="shared" ca="1" si="3"/>
        <v>299</v>
      </c>
      <c r="T10" s="9" t="s">
        <v>52</v>
      </c>
      <c r="U10" s="9">
        <v>548827398</v>
      </c>
    </row>
    <row r="11" spans="1:21" x14ac:dyDescent="0.25">
      <c r="A11" s="9">
        <v>7</v>
      </c>
      <c r="B11" s="9">
        <v>101238</v>
      </c>
      <c r="C11" s="9" t="s">
        <v>55</v>
      </c>
      <c r="D11" s="9">
        <v>2485516401</v>
      </c>
      <c r="E11" s="9" t="s">
        <v>16</v>
      </c>
      <c r="F11" s="9" t="s">
        <v>56</v>
      </c>
      <c r="G11" s="9">
        <v>2023</v>
      </c>
      <c r="H11" s="9" t="s">
        <v>18</v>
      </c>
      <c r="I11" s="9">
        <v>8</v>
      </c>
      <c r="J11" s="9">
        <v>2</v>
      </c>
      <c r="K11" s="9">
        <v>698454020</v>
      </c>
      <c r="L11" s="38">
        <v>46536</v>
      </c>
      <c r="M11" s="9">
        <f t="shared" ca="1" si="0"/>
        <v>320</v>
      </c>
      <c r="N11" s="4">
        <v>46398</v>
      </c>
      <c r="O11" s="9">
        <f t="shared" ca="1" si="1"/>
        <v>182</v>
      </c>
      <c r="P11" s="4">
        <v>46515</v>
      </c>
      <c r="Q11" s="9">
        <f t="shared" ca="1" si="2"/>
        <v>299</v>
      </c>
      <c r="R11" s="4">
        <v>46485</v>
      </c>
      <c r="S11" s="9">
        <f t="shared" ca="1" si="3"/>
        <v>269</v>
      </c>
      <c r="T11" s="9" t="s">
        <v>52</v>
      </c>
      <c r="U11" s="9">
        <v>535690637</v>
      </c>
    </row>
    <row r="12" spans="1:21" x14ac:dyDescent="0.25">
      <c r="A12" s="9">
        <v>8</v>
      </c>
      <c r="B12" s="9">
        <v>100385</v>
      </c>
      <c r="C12" s="9" t="s">
        <v>57</v>
      </c>
      <c r="D12" s="9">
        <v>2407663372</v>
      </c>
      <c r="E12" s="9" t="s">
        <v>15</v>
      </c>
      <c r="F12" s="9" t="s">
        <v>58</v>
      </c>
      <c r="G12" s="9">
        <v>2016</v>
      </c>
      <c r="H12" s="9" t="s">
        <v>20</v>
      </c>
      <c r="I12" s="9">
        <v>8</v>
      </c>
      <c r="J12" s="9">
        <v>2</v>
      </c>
      <c r="K12" s="9">
        <v>831809610</v>
      </c>
      <c r="L12" s="4">
        <v>46384</v>
      </c>
      <c r="M12" s="9">
        <f t="shared" ca="1" si="0"/>
        <v>168</v>
      </c>
      <c r="N12" s="4">
        <v>46282</v>
      </c>
      <c r="O12" s="9">
        <f t="shared" ca="1" si="1"/>
        <v>66</v>
      </c>
      <c r="P12" s="4">
        <v>46515</v>
      </c>
      <c r="Q12" s="9">
        <f t="shared" ca="1" si="2"/>
        <v>299</v>
      </c>
      <c r="R12" s="4">
        <v>46515</v>
      </c>
      <c r="S12" s="9">
        <f t="shared" ca="1" si="3"/>
        <v>299</v>
      </c>
      <c r="T12" s="9" t="s">
        <v>52</v>
      </c>
      <c r="U12" s="9">
        <v>570528945</v>
      </c>
    </row>
    <row r="13" spans="1:21" x14ac:dyDescent="0.25">
      <c r="A13" s="9">
        <v>9</v>
      </c>
      <c r="B13" s="9">
        <v>100360</v>
      </c>
      <c r="C13" s="9" t="s">
        <v>59</v>
      </c>
      <c r="D13" s="9">
        <v>2393652496</v>
      </c>
      <c r="E13" s="9" t="s">
        <v>16</v>
      </c>
      <c r="F13" s="9" t="s">
        <v>60</v>
      </c>
      <c r="G13" s="9">
        <v>2023</v>
      </c>
      <c r="H13" s="9" t="s">
        <v>19</v>
      </c>
      <c r="I13" s="9">
        <v>4</v>
      </c>
      <c r="J13" s="9">
        <v>3</v>
      </c>
      <c r="K13" s="9">
        <v>886860810</v>
      </c>
      <c r="L13" s="4">
        <v>46213</v>
      </c>
      <c r="M13" s="9">
        <f t="shared" ca="1" si="0"/>
        <v>-3</v>
      </c>
      <c r="N13" s="4">
        <v>46272</v>
      </c>
      <c r="O13" s="9">
        <f t="shared" ca="1" si="1"/>
        <v>56</v>
      </c>
      <c r="P13" s="4">
        <v>46515</v>
      </c>
      <c r="Q13" s="9">
        <f t="shared" ca="1" si="2"/>
        <v>299</v>
      </c>
      <c r="R13" s="4">
        <v>46515</v>
      </c>
      <c r="S13" s="9">
        <f t="shared" ca="1" si="3"/>
        <v>299</v>
      </c>
      <c r="T13" s="9" t="s">
        <v>61</v>
      </c>
      <c r="U13" s="9">
        <v>541364538</v>
      </c>
    </row>
    <row r="14" spans="1:21" x14ac:dyDescent="0.25">
      <c r="A14" s="9">
        <v>10</v>
      </c>
      <c r="B14" s="9">
        <v>100332</v>
      </c>
      <c r="C14" s="9" t="s">
        <v>62</v>
      </c>
      <c r="D14" s="9">
        <v>2350147415</v>
      </c>
      <c r="E14" s="9" t="s">
        <v>16</v>
      </c>
      <c r="F14" s="9" t="s">
        <v>63</v>
      </c>
      <c r="G14" s="9">
        <v>2022</v>
      </c>
      <c r="H14" s="9" t="s">
        <v>17</v>
      </c>
      <c r="I14" s="9">
        <v>4</v>
      </c>
      <c r="J14" s="9">
        <v>3</v>
      </c>
      <c r="K14" s="9">
        <v>211941910</v>
      </c>
      <c r="L14" s="4">
        <v>46446</v>
      </c>
      <c r="M14" s="9">
        <f t="shared" ca="1" si="0"/>
        <v>230</v>
      </c>
      <c r="N14" s="4">
        <v>46858</v>
      </c>
      <c r="O14" s="9">
        <f t="shared" ca="1" si="1"/>
        <v>642</v>
      </c>
      <c r="P14" s="4">
        <v>46283</v>
      </c>
      <c r="Q14" s="9">
        <f t="shared" ca="1" si="2"/>
        <v>67</v>
      </c>
      <c r="R14" s="4">
        <v>46379</v>
      </c>
      <c r="S14" s="9">
        <f t="shared" ca="1" si="3"/>
        <v>163</v>
      </c>
      <c r="T14" s="9" t="s">
        <v>52</v>
      </c>
      <c r="U14" s="9">
        <v>571991926</v>
      </c>
    </row>
    <row r="15" spans="1:21" x14ac:dyDescent="0.25">
      <c r="A15" s="9">
        <v>11</v>
      </c>
      <c r="B15" s="9">
        <v>102126</v>
      </c>
      <c r="C15" s="9" t="s">
        <v>64</v>
      </c>
      <c r="D15" s="9">
        <v>2530207360</v>
      </c>
      <c r="E15" s="9" t="s">
        <v>16</v>
      </c>
      <c r="F15" s="9" t="s">
        <v>65</v>
      </c>
      <c r="G15" s="9">
        <v>2023</v>
      </c>
      <c r="H15" s="9" t="s">
        <v>18</v>
      </c>
      <c r="I15" s="9">
        <v>8</v>
      </c>
      <c r="J15" s="9">
        <v>3</v>
      </c>
      <c r="K15" s="9">
        <v>207954020</v>
      </c>
      <c r="L15" s="4">
        <v>46478</v>
      </c>
      <c r="M15" s="9">
        <f t="shared" ca="1" si="0"/>
        <v>262</v>
      </c>
      <c r="N15" s="4">
        <v>46398</v>
      </c>
      <c r="O15" s="9">
        <f t="shared" ca="1" si="1"/>
        <v>182</v>
      </c>
      <c r="P15" s="4">
        <v>46515</v>
      </c>
      <c r="Q15" s="9">
        <f t="shared" ca="1" si="2"/>
        <v>299</v>
      </c>
      <c r="R15" s="4">
        <v>46485</v>
      </c>
      <c r="S15" s="9">
        <f t="shared" ca="1" si="3"/>
        <v>269</v>
      </c>
      <c r="T15" s="9" t="s">
        <v>41</v>
      </c>
      <c r="U15" s="9">
        <v>567948210</v>
      </c>
    </row>
    <row r="16" spans="1:21" x14ac:dyDescent="0.25">
      <c r="A16" s="9">
        <v>12</v>
      </c>
      <c r="B16" s="9">
        <v>100828</v>
      </c>
      <c r="C16" s="9" t="s">
        <v>66</v>
      </c>
      <c r="D16" s="9">
        <v>2461544377</v>
      </c>
      <c r="E16" s="9" t="s">
        <v>16</v>
      </c>
      <c r="F16" s="9" t="s">
        <v>67</v>
      </c>
      <c r="G16" s="9">
        <v>2022</v>
      </c>
      <c r="H16" s="9" t="s">
        <v>17</v>
      </c>
      <c r="I16" s="9">
        <v>4</v>
      </c>
      <c r="J16" s="9">
        <v>3</v>
      </c>
      <c r="K16" s="9">
        <v>960941910</v>
      </c>
      <c r="L16" s="4">
        <v>46384</v>
      </c>
      <c r="M16" s="9">
        <f t="shared" ca="1" si="0"/>
        <v>168</v>
      </c>
      <c r="N16" s="4">
        <v>46858</v>
      </c>
      <c r="O16" s="9">
        <f t="shared" ca="1" si="1"/>
        <v>642</v>
      </c>
      <c r="P16" s="4">
        <v>46388</v>
      </c>
      <c r="Q16" s="9">
        <f t="shared" ca="1" si="2"/>
        <v>172</v>
      </c>
      <c r="R16" s="4">
        <v>46379</v>
      </c>
      <c r="S16" s="9">
        <f t="shared" ca="1" si="3"/>
        <v>163</v>
      </c>
      <c r="T16" s="9" t="s">
        <v>52</v>
      </c>
      <c r="U16" s="9">
        <v>549131428</v>
      </c>
    </row>
    <row r="17" spans="1:21" x14ac:dyDescent="0.25">
      <c r="A17" s="9">
        <v>13</v>
      </c>
      <c r="B17" s="9">
        <v>100522</v>
      </c>
      <c r="C17" s="9" t="s">
        <v>68</v>
      </c>
      <c r="D17" s="9">
        <v>2430898482</v>
      </c>
      <c r="E17" s="9" t="s">
        <v>16</v>
      </c>
      <c r="F17" s="9" t="s">
        <v>69</v>
      </c>
      <c r="G17" s="9">
        <v>2023</v>
      </c>
      <c r="H17" s="9" t="s">
        <v>19</v>
      </c>
      <c r="I17" s="9">
        <v>4</v>
      </c>
      <c r="J17" s="9">
        <v>3</v>
      </c>
      <c r="K17" s="9">
        <v>379167910</v>
      </c>
      <c r="L17" s="4">
        <v>46338</v>
      </c>
      <c r="M17" s="9">
        <f t="shared" ca="1" si="0"/>
        <v>122</v>
      </c>
      <c r="N17" s="4">
        <v>47153</v>
      </c>
      <c r="O17" s="9">
        <f t="shared" ca="1" si="1"/>
        <v>937</v>
      </c>
      <c r="P17" s="4">
        <v>46296</v>
      </c>
      <c r="Q17" s="9">
        <f t="shared" ca="1" si="2"/>
        <v>80</v>
      </c>
      <c r="R17" s="4">
        <v>46515</v>
      </c>
      <c r="S17" s="9">
        <f t="shared" ca="1" si="3"/>
        <v>299</v>
      </c>
      <c r="T17" s="9" t="s">
        <v>52</v>
      </c>
      <c r="U17" s="9">
        <v>581993668</v>
      </c>
    </row>
    <row r="18" spans="1:21" x14ac:dyDescent="0.25">
      <c r="A18" s="9">
        <v>14</v>
      </c>
      <c r="B18" s="9">
        <v>101199</v>
      </c>
      <c r="C18" s="9" t="s">
        <v>70</v>
      </c>
      <c r="D18" s="9">
        <v>2468851676</v>
      </c>
      <c r="E18" s="9" t="s">
        <v>16</v>
      </c>
      <c r="F18" s="9" t="s">
        <v>71</v>
      </c>
      <c r="G18" s="9">
        <v>2024</v>
      </c>
      <c r="H18" s="9" t="s">
        <v>17</v>
      </c>
      <c r="I18" s="9">
        <v>4</v>
      </c>
      <c r="J18" s="9">
        <v>3</v>
      </c>
      <c r="K18" s="9">
        <v>739131120</v>
      </c>
      <c r="L18" s="4">
        <v>46476</v>
      </c>
      <c r="M18" s="9">
        <f t="shared" ca="1" si="0"/>
        <v>260</v>
      </c>
      <c r="N18" s="4">
        <v>46583</v>
      </c>
      <c r="O18" s="9">
        <f t="shared" ca="1" si="1"/>
        <v>367</v>
      </c>
      <c r="P18" s="4">
        <v>46330</v>
      </c>
      <c r="Q18" s="9">
        <f t="shared" ca="1" si="2"/>
        <v>114</v>
      </c>
      <c r="R18" s="4">
        <v>46505</v>
      </c>
      <c r="S18" s="9">
        <f t="shared" ca="1" si="3"/>
        <v>289</v>
      </c>
      <c r="T18" s="9" t="s">
        <v>52</v>
      </c>
      <c r="U18" s="9">
        <v>558654476</v>
      </c>
    </row>
    <row r="19" spans="1:21" x14ac:dyDescent="0.25">
      <c r="A19" s="9">
        <v>15</v>
      </c>
      <c r="B19" s="9">
        <v>100330</v>
      </c>
      <c r="C19" s="9" t="s">
        <v>72</v>
      </c>
      <c r="D19" s="9">
        <v>2325599070</v>
      </c>
      <c r="E19" s="9" t="s">
        <v>16</v>
      </c>
      <c r="F19" s="9" t="s">
        <v>73</v>
      </c>
      <c r="G19" s="9">
        <v>2023</v>
      </c>
      <c r="H19" s="9" t="s">
        <v>19</v>
      </c>
      <c r="I19" s="9">
        <v>4</v>
      </c>
      <c r="J19" s="9">
        <v>3</v>
      </c>
      <c r="K19" s="9">
        <v>949819910</v>
      </c>
      <c r="L19" s="4">
        <v>46467</v>
      </c>
      <c r="M19" s="9">
        <f t="shared" ca="1" si="0"/>
        <v>251</v>
      </c>
      <c r="N19" s="4">
        <v>47192</v>
      </c>
      <c r="O19" s="9">
        <f t="shared" ca="1" si="1"/>
        <v>976</v>
      </c>
      <c r="P19" s="4">
        <v>46417</v>
      </c>
      <c r="Q19" s="9">
        <f t="shared" ca="1" si="2"/>
        <v>201</v>
      </c>
      <c r="R19" s="4">
        <v>46515</v>
      </c>
      <c r="S19" s="9">
        <f t="shared" ca="1" si="3"/>
        <v>299</v>
      </c>
      <c r="T19" s="9" t="s">
        <v>52</v>
      </c>
      <c r="U19" s="9">
        <v>571724688</v>
      </c>
    </row>
    <row r="20" spans="1:21" x14ac:dyDescent="0.25">
      <c r="A20" s="9">
        <v>16</v>
      </c>
      <c r="B20" s="9">
        <v>100303</v>
      </c>
      <c r="C20" s="9" t="s">
        <v>74</v>
      </c>
      <c r="D20" s="9">
        <v>2090207859</v>
      </c>
      <c r="E20" s="9" t="s">
        <v>15</v>
      </c>
      <c r="F20" s="9" t="s">
        <v>75</v>
      </c>
      <c r="G20" s="9">
        <v>2023</v>
      </c>
      <c r="H20" s="9" t="s">
        <v>18</v>
      </c>
      <c r="I20" s="9">
        <v>8</v>
      </c>
      <c r="J20" s="9">
        <v>3</v>
      </c>
      <c r="K20" s="9">
        <v>537954020</v>
      </c>
      <c r="L20" s="4">
        <v>46474</v>
      </c>
      <c r="M20" s="9">
        <f t="shared" ca="1" si="0"/>
        <v>258</v>
      </c>
      <c r="N20" s="4">
        <v>46398</v>
      </c>
      <c r="O20" s="9">
        <f t="shared" ca="1" si="1"/>
        <v>182</v>
      </c>
      <c r="P20" s="4">
        <v>46386</v>
      </c>
      <c r="Q20" s="9">
        <f t="shared" ca="1" si="2"/>
        <v>170</v>
      </c>
      <c r="R20" s="4">
        <v>46479</v>
      </c>
      <c r="S20" s="9">
        <f t="shared" ca="1" si="3"/>
        <v>263</v>
      </c>
      <c r="T20" s="9" t="s">
        <v>52</v>
      </c>
      <c r="U20" s="9">
        <v>558453231</v>
      </c>
    </row>
    <row r="21" spans="1:21" x14ac:dyDescent="0.25">
      <c r="A21" s="9">
        <v>17</v>
      </c>
      <c r="B21" s="9">
        <v>102845</v>
      </c>
      <c r="C21" s="9" t="s">
        <v>76</v>
      </c>
      <c r="D21" s="9">
        <v>2607260698</v>
      </c>
      <c r="E21" s="9" t="s">
        <v>15</v>
      </c>
      <c r="F21" s="9" t="s">
        <v>77</v>
      </c>
      <c r="G21" s="9">
        <v>2016</v>
      </c>
      <c r="H21" s="9" t="s">
        <v>20</v>
      </c>
      <c r="I21" s="9">
        <v>8</v>
      </c>
      <c r="J21" s="9">
        <v>2</v>
      </c>
      <c r="K21" s="9">
        <v>451809610</v>
      </c>
      <c r="L21" s="4">
        <v>46348</v>
      </c>
      <c r="M21" s="9">
        <f t="shared" ca="1" si="0"/>
        <v>132</v>
      </c>
      <c r="N21" s="4">
        <v>46303</v>
      </c>
      <c r="O21" s="9">
        <f t="shared" ca="1" si="1"/>
        <v>87</v>
      </c>
      <c r="P21" s="4">
        <v>46515</v>
      </c>
      <c r="Q21" s="9">
        <f t="shared" ca="1" si="2"/>
        <v>299</v>
      </c>
      <c r="R21" s="4">
        <v>46515</v>
      </c>
      <c r="S21" s="9">
        <f t="shared" ca="1" si="3"/>
        <v>299</v>
      </c>
      <c r="T21" s="9" t="s">
        <v>52</v>
      </c>
      <c r="U21" s="9">
        <v>572901340</v>
      </c>
    </row>
    <row r="22" spans="1:21" x14ac:dyDescent="0.25">
      <c r="A22" s="9">
        <v>18</v>
      </c>
      <c r="B22" s="9">
        <v>102368</v>
      </c>
      <c r="C22" s="9" t="s">
        <v>78</v>
      </c>
      <c r="D22" s="9">
        <v>2537417152</v>
      </c>
      <c r="E22" s="9" t="s">
        <v>15</v>
      </c>
      <c r="F22" s="9" t="s">
        <v>79</v>
      </c>
      <c r="G22" s="9">
        <v>2023</v>
      </c>
      <c r="H22" s="9" t="s">
        <v>18</v>
      </c>
      <c r="I22" s="9">
        <v>8</v>
      </c>
      <c r="J22" s="9">
        <v>3</v>
      </c>
      <c r="K22" s="9">
        <v>277754020</v>
      </c>
      <c r="L22" s="4">
        <v>46310</v>
      </c>
      <c r="M22" s="9">
        <f t="shared" ca="1" si="0"/>
        <v>94</v>
      </c>
      <c r="N22" s="4">
        <v>46398</v>
      </c>
      <c r="O22" s="9">
        <f t="shared" ca="1" si="1"/>
        <v>182</v>
      </c>
      <c r="P22" s="4">
        <v>46500</v>
      </c>
      <c r="Q22" s="9">
        <f t="shared" ca="1" si="2"/>
        <v>284</v>
      </c>
      <c r="R22" s="4">
        <v>46484</v>
      </c>
      <c r="S22" s="9">
        <f t="shared" ca="1" si="3"/>
        <v>268</v>
      </c>
      <c r="T22" s="9" t="s">
        <v>52</v>
      </c>
      <c r="U22" s="9">
        <v>536735114</v>
      </c>
    </row>
    <row r="23" spans="1:21" x14ac:dyDescent="0.25">
      <c r="A23" s="9">
        <v>19</v>
      </c>
      <c r="B23" s="9">
        <v>101260</v>
      </c>
      <c r="C23" s="9" t="s">
        <v>80</v>
      </c>
      <c r="D23" s="9">
        <v>2487345031</v>
      </c>
      <c r="E23" s="9" t="s">
        <v>16</v>
      </c>
      <c r="F23" s="9" t="s">
        <v>81</v>
      </c>
      <c r="G23" s="9">
        <v>2022</v>
      </c>
      <c r="H23" s="9" t="s">
        <v>17</v>
      </c>
      <c r="I23" s="9">
        <v>4</v>
      </c>
      <c r="J23" s="9">
        <v>3</v>
      </c>
      <c r="K23" s="9">
        <v>74841910</v>
      </c>
      <c r="L23" s="4">
        <v>46359</v>
      </c>
      <c r="M23" s="9">
        <f t="shared" ca="1" si="0"/>
        <v>143</v>
      </c>
      <c r="N23" s="4">
        <v>46858</v>
      </c>
      <c r="O23" s="9">
        <f t="shared" ca="1" si="1"/>
        <v>642</v>
      </c>
      <c r="P23" s="4">
        <v>46504</v>
      </c>
      <c r="Q23" s="9">
        <f t="shared" ca="1" si="2"/>
        <v>288</v>
      </c>
      <c r="R23" s="4">
        <v>46379</v>
      </c>
      <c r="S23" s="9">
        <f t="shared" ca="1" si="3"/>
        <v>163</v>
      </c>
      <c r="T23" s="9" t="s">
        <v>52</v>
      </c>
      <c r="U23" s="9">
        <v>564649987</v>
      </c>
    </row>
    <row r="24" spans="1:21" x14ac:dyDescent="0.25">
      <c r="A24" s="9">
        <v>20</v>
      </c>
      <c r="B24" s="9">
        <v>101936</v>
      </c>
      <c r="C24" s="9" t="s">
        <v>82</v>
      </c>
      <c r="D24" s="9">
        <v>2505074498</v>
      </c>
      <c r="E24" s="9" t="s">
        <v>15</v>
      </c>
      <c r="F24" s="9" t="s">
        <v>83</v>
      </c>
      <c r="G24" s="9">
        <v>2023</v>
      </c>
      <c r="H24" s="9" t="s">
        <v>18</v>
      </c>
      <c r="I24" s="9">
        <v>8</v>
      </c>
      <c r="J24" s="9">
        <v>3</v>
      </c>
      <c r="K24" s="9">
        <v>317954020</v>
      </c>
      <c r="L24" s="4">
        <v>46476</v>
      </c>
      <c r="M24" s="9">
        <f t="shared" ca="1" si="0"/>
        <v>260</v>
      </c>
      <c r="N24" s="4">
        <v>46398</v>
      </c>
      <c r="O24" s="9">
        <f t="shared" ca="1" si="1"/>
        <v>182</v>
      </c>
      <c r="P24" s="4">
        <v>46515</v>
      </c>
      <c r="Q24" s="9">
        <f t="shared" ca="1" si="2"/>
        <v>299</v>
      </c>
      <c r="R24" s="4">
        <v>46485</v>
      </c>
      <c r="S24" s="9">
        <f t="shared" ca="1" si="3"/>
        <v>269</v>
      </c>
      <c r="T24" s="9" t="s">
        <v>52</v>
      </c>
      <c r="U24" s="9">
        <v>550920461</v>
      </c>
    </row>
    <row r="25" spans="1:21" x14ac:dyDescent="0.25">
      <c r="A25" s="9">
        <v>21</v>
      </c>
      <c r="B25" s="9">
        <v>100717</v>
      </c>
      <c r="C25" s="9" t="s">
        <v>84</v>
      </c>
      <c r="D25" s="9">
        <v>2445181585</v>
      </c>
      <c r="E25" s="9" t="s">
        <v>16</v>
      </c>
      <c r="F25" s="9" t="s">
        <v>85</v>
      </c>
      <c r="G25" s="9">
        <v>2023</v>
      </c>
      <c r="H25" s="9" t="s">
        <v>18</v>
      </c>
      <c r="I25" s="9">
        <v>8</v>
      </c>
      <c r="J25" s="9">
        <v>3</v>
      </c>
      <c r="K25" s="9">
        <v>776954020</v>
      </c>
      <c r="L25" s="4">
        <v>46480</v>
      </c>
      <c r="M25" s="9">
        <f t="shared" ca="1" si="0"/>
        <v>264</v>
      </c>
      <c r="N25" s="4">
        <v>46398</v>
      </c>
      <c r="O25" s="9">
        <f t="shared" ca="1" si="1"/>
        <v>182</v>
      </c>
      <c r="P25" s="4">
        <v>46515</v>
      </c>
      <c r="Q25" s="9">
        <f t="shared" ca="1" si="2"/>
        <v>299</v>
      </c>
      <c r="R25" s="4">
        <v>46505</v>
      </c>
      <c r="S25" s="9">
        <f t="shared" ca="1" si="3"/>
        <v>289</v>
      </c>
      <c r="T25" s="9" t="s">
        <v>52</v>
      </c>
      <c r="U25" s="9">
        <v>564701656</v>
      </c>
    </row>
    <row r="26" spans="1:21" x14ac:dyDescent="0.25">
      <c r="A26" s="9">
        <v>22</v>
      </c>
      <c r="B26" s="9">
        <v>100711</v>
      </c>
      <c r="C26" s="9" t="s">
        <v>86</v>
      </c>
      <c r="D26" s="9">
        <v>2409104953</v>
      </c>
      <c r="E26" s="9" t="s">
        <v>15</v>
      </c>
      <c r="F26" s="9" t="s">
        <v>87</v>
      </c>
      <c r="G26" s="9">
        <v>2023</v>
      </c>
      <c r="H26" s="9" t="s">
        <v>18</v>
      </c>
      <c r="I26" s="9">
        <v>8</v>
      </c>
      <c r="J26" s="9">
        <v>3</v>
      </c>
      <c r="K26" s="9">
        <v>538754020</v>
      </c>
      <c r="L26" s="4">
        <v>46321</v>
      </c>
      <c r="M26" s="9">
        <f t="shared" ca="1" si="0"/>
        <v>105</v>
      </c>
      <c r="N26" s="4">
        <v>46398</v>
      </c>
      <c r="O26" s="9">
        <f t="shared" ca="1" si="1"/>
        <v>182</v>
      </c>
      <c r="P26" s="4">
        <v>46515</v>
      </c>
      <c r="Q26" s="9">
        <f t="shared" ca="1" si="2"/>
        <v>299</v>
      </c>
      <c r="R26" s="4">
        <v>46505</v>
      </c>
      <c r="S26" s="9">
        <f t="shared" ca="1" si="3"/>
        <v>289</v>
      </c>
      <c r="T26" s="9" t="s">
        <v>52</v>
      </c>
      <c r="U26" s="9">
        <v>567428582</v>
      </c>
    </row>
    <row r="27" spans="1:21" x14ac:dyDescent="0.25">
      <c r="A27" s="9">
        <v>23</v>
      </c>
      <c r="B27" s="9">
        <v>101958</v>
      </c>
      <c r="C27" s="9" t="s">
        <v>88</v>
      </c>
      <c r="D27" s="9">
        <v>2512564010</v>
      </c>
      <c r="E27" s="9" t="s">
        <v>15</v>
      </c>
      <c r="F27" s="9" t="s">
        <v>89</v>
      </c>
      <c r="G27" s="9">
        <v>2023</v>
      </c>
      <c r="H27" s="9" t="s">
        <v>18</v>
      </c>
      <c r="I27" s="9">
        <v>8</v>
      </c>
      <c r="J27" s="9">
        <v>3</v>
      </c>
      <c r="K27" s="9">
        <v>395065910</v>
      </c>
      <c r="L27" s="4">
        <v>47027</v>
      </c>
      <c r="M27" s="9">
        <f t="shared" ca="1" si="0"/>
        <v>811</v>
      </c>
      <c r="N27" s="4">
        <v>46997</v>
      </c>
      <c r="O27" s="9">
        <f t="shared" ca="1" si="1"/>
        <v>781</v>
      </c>
      <c r="P27" s="4">
        <v>46515</v>
      </c>
      <c r="Q27" s="9">
        <f t="shared" ca="1" si="2"/>
        <v>299</v>
      </c>
      <c r="R27" s="4">
        <v>46515</v>
      </c>
      <c r="S27" s="9">
        <f t="shared" ca="1" si="3"/>
        <v>299</v>
      </c>
      <c r="T27" s="9" t="s">
        <v>52</v>
      </c>
      <c r="U27" s="9">
        <v>530727974</v>
      </c>
    </row>
    <row r="28" spans="1:21" x14ac:dyDescent="0.25">
      <c r="A28" s="9">
        <v>24</v>
      </c>
      <c r="B28" s="9">
        <v>100249</v>
      </c>
      <c r="C28" s="9" t="s">
        <v>90</v>
      </c>
      <c r="D28" s="9">
        <v>2255207751</v>
      </c>
      <c r="E28" s="9" t="s">
        <v>15</v>
      </c>
      <c r="F28" s="9" t="s">
        <v>91</v>
      </c>
      <c r="G28" s="9">
        <v>2023</v>
      </c>
      <c r="H28" s="9" t="s">
        <v>18</v>
      </c>
      <c r="I28" s="9">
        <v>8</v>
      </c>
      <c r="J28" s="9">
        <v>3</v>
      </c>
      <c r="K28" s="9">
        <v>186065910</v>
      </c>
      <c r="L28" s="4">
        <v>46413</v>
      </c>
      <c r="M28" s="9">
        <f t="shared" ca="1" si="0"/>
        <v>197</v>
      </c>
      <c r="N28" s="4">
        <v>46997</v>
      </c>
      <c r="O28" s="9">
        <f t="shared" ca="1" si="1"/>
        <v>781</v>
      </c>
      <c r="P28" s="4">
        <v>46515</v>
      </c>
      <c r="Q28" s="9">
        <f t="shared" ca="1" si="2"/>
        <v>299</v>
      </c>
      <c r="R28" s="4">
        <v>46515</v>
      </c>
      <c r="S28" s="9">
        <f t="shared" ca="1" si="3"/>
        <v>299</v>
      </c>
      <c r="T28" s="9" t="s">
        <v>52</v>
      </c>
      <c r="U28" s="9">
        <v>502219743</v>
      </c>
    </row>
    <row r="29" spans="1:21" x14ac:dyDescent="0.25">
      <c r="A29" s="9">
        <v>25</v>
      </c>
      <c r="B29" s="9">
        <v>101238</v>
      </c>
      <c r="C29" s="9" t="s">
        <v>92</v>
      </c>
      <c r="D29" s="9">
        <v>2485516401</v>
      </c>
      <c r="E29" s="9" t="s">
        <v>16</v>
      </c>
      <c r="F29" s="9" t="s">
        <v>93</v>
      </c>
      <c r="G29" s="9">
        <v>2020</v>
      </c>
      <c r="H29" s="9" t="s">
        <v>19</v>
      </c>
      <c r="I29" s="9">
        <v>4</v>
      </c>
      <c r="J29" s="9">
        <v>3</v>
      </c>
      <c r="K29" s="9">
        <v>427860810</v>
      </c>
      <c r="L29" s="4">
        <v>46637</v>
      </c>
      <c r="M29" s="9">
        <f t="shared" ca="1" si="0"/>
        <v>421</v>
      </c>
      <c r="N29" s="4">
        <v>46272</v>
      </c>
      <c r="O29" s="9">
        <f t="shared" ca="1" si="1"/>
        <v>56</v>
      </c>
      <c r="P29" s="4">
        <v>46515</v>
      </c>
      <c r="Q29" s="9">
        <f t="shared" ca="1" si="2"/>
        <v>299</v>
      </c>
      <c r="R29" s="4">
        <v>46515</v>
      </c>
      <c r="S29" s="9">
        <f t="shared" ca="1" si="3"/>
        <v>299</v>
      </c>
      <c r="T29" s="9" t="s">
        <v>52</v>
      </c>
      <c r="U29" s="9">
        <v>535690637</v>
      </c>
    </row>
    <row r="30" spans="1:21" x14ac:dyDescent="0.25">
      <c r="A30" s="9">
        <v>26</v>
      </c>
      <c r="B30" s="9">
        <v>100237</v>
      </c>
      <c r="C30" s="9" t="s">
        <v>94</v>
      </c>
      <c r="D30" s="9">
        <v>2317876015</v>
      </c>
      <c r="E30" s="9" t="s">
        <v>15</v>
      </c>
      <c r="F30" s="9" t="s">
        <v>95</v>
      </c>
      <c r="G30" s="9">
        <v>2020</v>
      </c>
      <c r="H30" s="9" t="s">
        <v>19</v>
      </c>
      <c r="I30" s="9">
        <v>4</v>
      </c>
      <c r="J30" s="9">
        <v>3</v>
      </c>
      <c r="K30" s="9">
        <v>203480020</v>
      </c>
      <c r="L30" s="4">
        <v>46296</v>
      </c>
      <c r="M30" s="9">
        <f t="shared" ca="1" si="0"/>
        <v>80</v>
      </c>
      <c r="N30" s="4">
        <v>46241</v>
      </c>
      <c r="O30" s="9">
        <f t="shared" ca="1" si="1"/>
        <v>25</v>
      </c>
      <c r="P30" s="4">
        <v>46515</v>
      </c>
      <c r="Q30" s="9">
        <f t="shared" ca="1" si="2"/>
        <v>299</v>
      </c>
      <c r="R30" s="4">
        <v>46515</v>
      </c>
      <c r="S30" s="9">
        <f t="shared" ca="1" si="3"/>
        <v>299</v>
      </c>
      <c r="T30" s="9" t="s">
        <v>52</v>
      </c>
      <c r="U30" s="9">
        <v>551575512</v>
      </c>
    </row>
    <row r="31" spans="1:21" x14ac:dyDescent="0.25">
      <c r="A31" s="9">
        <v>27</v>
      </c>
      <c r="B31" s="9">
        <v>100714</v>
      </c>
      <c r="C31" s="9" t="s">
        <v>96</v>
      </c>
      <c r="D31" s="9">
        <v>2441374739</v>
      </c>
      <c r="E31" s="9" t="s">
        <v>15</v>
      </c>
      <c r="F31" s="9" t="s">
        <v>97</v>
      </c>
      <c r="G31" s="9">
        <v>2015</v>
      </c>
      <c r="H31" s="9" t="s">
        <v>17</v>
      </c>
      <c r="I31" s="9">
        <v>4</v>
      </c>
      <c r="J31" s="9">
        <v>3</v>
      </c>
      <c r="K31" s="9">
        <v>322761410</v>
      </c>
      <c r="L31" s="4">
        <v>46552</v>
      </c>
      <c r="M31" s="9">
        <f t="shared" ca="1" si="0"/>
        <v>336</v>
      </c>
      <c r="N31" s="4">
        <v>46553</v>
      </c>
      <c r="O31" s="9">
        <f t="shared" ca="1" si="1"/>
        <v>337</v>
      </c>
      <c r="P31" s="4">
        <v>46515</v>
      </c>
      <c r="Q31" s="9">
        <f t="shared" ca="1" si="2"/>
        <v>299</v>
      </c>
      <c r="R31" s="4">
        <v>46515</v>
      </c>
      <c r="S31" s="9">
        <f t="shared" ca="1" si="3"/>
        <v>299</v>
      </c>
      <c r="T31" s="9" t="s">
        <v>52</v>
      </c>
      <c r="U31" s="9">
        <v>530658749</v>
      </c>
    </row>
    <row r="32" spans="1:21" x14ac:dyDescent="0.25">
      <c r="A32" s="9">
        <v>28</v>
      </c>
      <c r="B32" s="9">
        <v>100231</v>
      </c>
      <c r="C32" s="9" t="s">
        <v>98</v>
      </c>
      <c r="D32" s="9">
        <v>2255854875</v>
      </c>
      <c r="E32" s="9" t="s">
        <v>15</v>
      </c>
      <c r="F32" s="9" t="s">
        <v>99</v>
      </c>
      <c r="G32" s="9">
        <v>2023</v>
      </c>
      <c r="H32" s="9" t="s">
        <v>19</v>
      </c>
      <c r="I32" s="9">
        <v>4</v>
      </c>
      <c r="J32" s="9">
        <v>2</v>
      </c>
      <c r="K32" s="9">
        <v>539819910</v>
      </c>
      <c r="L32" s="4">
        <v>46433</v>
      </c>
      <c r="M32" s="9">
        <f t="shared" ca="1" si="0"/>
        <v>217</v>
      </c>
      <c r="N32" s="4">
        <v>47210</v>
      </c>
      <c r="O32" s="9">
        <f t="shared" ca="1" si="1"/>
        <v>994</v>
      </c>
      <c r="P32" s="4">
        <v>46516</v>
      </c>
      <c r="Q32" s="9">
        <f t="shared" ca="1" si="2"/>
        <v>300</v>
      </c>
      <c r="R32" s="4">
        <v>46515</v>
      </c>
      <c r="S32" s="9">
        <f t="shared" ca="1" si="3"/>
        <v>299</v>
      </c>
      <c r="T32" s="9" t="s">
        <v>52</v>
      </c>
      <c r="U32" s="9">
        <v>570947069</v>
      </c>
    </row>
    <row r="33" spans="1:21" x14ac:dyDescent="0.25">
      <c r="A33" s="9">
        <v>29</v>
      </c>
      <c r="B33" s="9">
        <v>100729</v>
      </c>
      <c r="C33" s="9" t="s">
        <v>100</v>
      </c>
      <c r="D33" s="9">
        <v>2441375439</v>
      </c>
      <c r="E33" s="9" t="s">
        <v>15</v>
      </c>
      <c r="F33" s="9" t="s">
        <v>101</v>
      </c>
      <c r="G33" s="9">
        <v>2023</v>
      </c>
      <c r="H33" s="9" t="s">
        <v>21</v>
      </c>
      <c r="I33" s="9">
        <v>4</v>
      </c>
      <c r="J33" s="9">
        <v>3</v>
      </c>
      <c r="K33" s="9">
        <v>829737020</v>
      </c>
      <c r="L33" s="4">
        <v>46258</v>
      </c>
      <c r="M33" s="9">
        <f t="shared" ca="1" si="0"/>
        <v>42</v>
      </c>
      <c r="N33" s="4">
        <v>46499</v>
      </c>
      <c r="O33" s="9">
        <f t="shared" ca="1" si="1"/>
        <v>283</v>
      </c>
      <c r="P33" s="4">
        <v>46313</v>
      </c>
      <c r="Q33" s="9">
        <f t="shared" ca="1" si="2"/>
        <v>97</v>
      </c>
      <c r="R33" s="4">
        <v>46316</v>
      </c>
      <c r="S33" s="9">
        <f t="shared" ca="1" si="3"/>
        <v>100</v>
      </c>
      <c r="T33" s="9" t="s">
        <v>52</v>
      </c>
      <c r="U33" s="9">
        <v>563480939</v>
      </c>
    </row>
    <row r="34" spans="1:21" x14ac:dyDescent="0.25">
      <c r="A34" s="9">
        <v>30</v>
      </c>
      <c r="B34" s="9">
        <v>100574</v>
      </c>
      <c r="C34" s="9" t="s">
        <v>102</v>
      </c>
      <c r="D34" s="9">
        <v>2441077944</v>
      </c>
      <c r="E34" s="9" t="s">
        <v>16</v>
      </c>
      <c r="F34" s="9" t="s">
        <v>103</v>
      </c>
      <c r="G34" s="9">
        <v>2024</v>
      </c>
      <c r="H34" s="9" t="s">
        <v>17</v>
      </c>
      <c r="I34" s="9">
        <v>4</v>
      </c>
      <c r="J34" s="9">
        <v>3</v>
      </c>
      <c r="K34" s="9">
        <v>761431120</v>
      </c>
      <c r="L34" s="4">
        <v>46478</v>
      </c>
      <c r="M34" s="9">
        <f t="shared" ca="1" si="0"/>
        <v>262</v>
      </c>
      <c r="N34" s="4">
        <v>46592</v>
      </c>
      <c r="O34" s="9">
        <f t="shared" ca="1" si="1"/>
        <v>376</v>
      </c>
      <c r="P34" s="4">
        <v>46543</v>
      </c>
      <c r="Q34" s="9">
        <f t="shared" ca="1" si="2"/>
        <v>327</v>
      </c>
      <c r="R34" s="4">
        <v>46515</v>
      </c>
      <c r="S34" s="9">
        <f t="shared" ca="1" si="3"/>
        <v>299</v>
      </c>
      <c r="T34" s="9" t="s">
        <v>52</v>
      </c>
      <c r="U34" s="9">
        <v>576559794</v>
      </c>
    </row>
  </sheetData>
  <mergeCells count="2">
    <mergeCell ref="A1:U1"/>
    <mergeCell ref="A2:B2"/>
  </mergeCells>
  <conditionalFormatting sqref="M5:M34">
    <cfRule type="cellIs" dxfId="23" priority="2" operator="lessThan">
      <formula>0</formula>
    </cfRule>
    <cfRule type="cellIs" dxfId="22" priority="3" operator="between">
      <formula>0</formula>
      <formula>30</formula>
    </cfRule>
    <cfRule type="cellIs" dxfId="21" priority="4" operator="greaterThan">
      <formula>30</formula>
    </cfRule>
  </conditionalFormatting>
  <conditionalFormatting sqref="O5:O34">
    <cfRule type="cellIs" dxfId="20" priority="5" operator="lessThan">
      <formula>0</formula>
    </cfRule>
    <cfRule type="cellIs" dxfId="19" priority="6" operator="between">
      <formula>0</formula>
      <formula>30</formula>
    </cfRule>
    <cfRule type="cellIs" dxfId="18" priority="7" operator="greaterThan">
      <formula>30</formula>
    </cfRule>
  </conditionalFormatting>
  <conditionalFormatting sqref="Q5:Q34">
    <cfRule type="cellIs" dxfId="17" priority="8" operator="lessThan">
      <formula>0</formula>
    </cfRule>
    <cfRule type="cellIs" dxfId="16" priority="9" operator="between">
      <formula>0</formula>
      <formula>30</formula>
    </cfRule>
    <cfRule type="cellIs" dxfId="15" priority="10" operator="greaterThan">
      <formula>30</formula>
    </cfRule>
  </conditionalFormatting>
  <conditionalFormatting sqref="S5:S34">
    <cfRule type="cellIs" dxfId="14" priority="11" operator="lessThan">
      <formula>0</formula>
    </cfRule>
    <cfRule type="cellIs" dxfId="13" priority="12" operator="between">
      <formula>0</formula>
      <formula>30</formula>
    </cfRule>
    <cfRule type="cellIs" dxfId="12" priority="13" operator="greaterThan">
      <formula>30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"/>
  <sheetViews>
    <sheetView rightToLeft="1" topLeftCell="E1" zoomScaleNormal="100" workbookViewId="0">
      <pane ySplit="3" topLeftCell="A4" activePane="bottomLeft" state="frozen"/>
      <selection pane="bottomLeft" activeCell="H32" sqref="H32"/>
    </sheetView>
  </sheetViews>
  <sheetFormatPr defaultColWidth="8.7109375" defaultRowHeight="15" x14ac:dyDescent="0.25"/>
  <cols>
    <col min="1" max="1" width="4" customWidth="1"/>
    <col min="2" max="2" width="9" customWidth="1"/>
    <col min="3" max="3" width="13" customWidth="1"/>
    <col min="4" max="4" width="9" customWidth="1"/>
    <col min="5" max="5" width="15" customWidth="1"/>
    <col min="6" max="6" width="9" customWidth="1"/>
    <col min="7" max="7" width="8" customWidth="1"/>
    <col min="8" max="8" width="12" customWidth="1"/>
    <col min="9" max="9" width="13" customWidth="1"/>
    <col min="10" max="10" width="10" customWidth="1"/>
    <col min="11" max="11" width="13" customWidth="1"/>
    <col min="12" max="12" width="10" customWidth="1"/>
    <col min="13" max="13" width="13" customWidth="1"/>
    <col min="14" max="14" width="10" customWidth="1"/>
    <col min="15" max="15" width="38" customWidth="1"/>
  </cols>
  <sheetData>
    <row r="1" spans="1:15" ht="30" customHeight="1" x14ac:dyDescent="0.25">
      <c r="A1" s="22" t="s">
        <v>104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3" spans="1:15" ht="36" customHeight="1" x14ac:dyDescent="0.25">
      <c r="A3" s="3" t="s">
        <v>9</v>
      </c>
      <c r="B3" s="3" t="s">
        <v>105</v>
      </c>
      <c r="C3" s="3" t="s">
        <v>11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14</v>
      </c>
      <c r="K3" s="3" t="s">
        <v>34</v>
      </c>
      <c r="L3" s="3" t="s">
        <v>14</v>
      </c>
      <c r="M3" s="3" t="s">
        <v>36</v>
      </c>
      <c r="N3" s="3" t="s">
        <v>14</v>
      </c>
      <c r="O3" s="3" t="s">
        <v>37</v>
      </c>
    </row>
    <row r="4" spans="1:15" ht="25.5" customHeight="1" x14ac:dyDescent="0.25">
      <c r="A4" s="9">
        <v>1</v>
      </c>
      <c r="B4" s="10" t="s">
        <v>106</v>
      </c>
      <c r="C4" s="9" t="s">
        <v>107</v>
      </c>
      <c r="D4" s="9">
        <v>2016</v>
      </c>
      <c r="E4" s="9" t="s">
        <v>20</v>
      </c>
      <c r="F4" s="9">
        <v>8</v>
      </c>
      <c r="G4" s="9">
        <v>2</v>
      </c>
      <c r="H4" s="9">
        <v>178838410</v>
      </c>
      <c r="I4" s="4">
        <v>45978</v>
      </c>
      <c r="J4" s="9">
        <f t="shared" ref="J4:J9" ca="1" si="0">IF(ISNUMBER(I4),I4-TODAY(),"-")</f>
        <v>-238</v>
      </c>
      <c r="K4" s="4">
        <v>46284</v>
      </c>
      <c r="L4" s="9">
        <f t="shared" ref="L4:L9" ca="1" si="1">IF(ISNUMBER(K4),K4-TODAY(),"-")</f>
        <v>68</v>
      </c>
      <c r="M4" s="4">
        <v>46159</v>
      </c>
      <c r="N4" s="9">
        <f t="shared" ref="N4:N9" ca="1" si="2">IF(ISNUMBER(M4),M4-TODAY(),"-")</f>
        <v>-57</v>
      </c>
      <c r="O4" s="9" t="s">
        <v>108</v>
      </c>
    </row>
    <row r="5" spans="1:15" ht="25.5" customHeight="1" x14ac:dyDescent="0.25">
      <c r="A5" s="9">
        <v>2</v>
      </c>
      <c r="B5" s="10" t="s">
        <v>106</v>
      </c>
      <c r="C5" s="9" t="s">
        <v>109</v>
      </c>
      <c r="D5" s="9">
        <v>2016</v>
      </c>
      <c r="E5" s="9" t="s">
        <v>20</v>
      </c>
      <c r="F5" s="9">
        <v>8</v>
      </c>
      <c r="G5" s="9">
        <v>3</v>
      </c>
      <c r="H5" s="9">
        <v>787571510</v>
      </c>
      <c r="I5" s="4">
        <v>45993</v>
      </c>
      <c r="J5" s="9">
        <f t="shared" ca="1" si="0"/>
        <v>-223</v>
      </c>
      <c r="K5" s="4">
        <v>46291</v>
      </c>
      <c r="L5" s="9">
        <f t="shared" ca="1" si="1"/>
        <v>75</v>
      </c>
      <c r="M5" s="4">
        <v>46159</v>
      </c>
      <c r="N5" s="9">
        <f t="shared" ca="1" si="2"/>
        <v>-57</v>
      </c>
      <c r="O5" s="9" t="s">
        <v>108</v>
      </c>
    </row>
    <row r="6" spans="1:15" x14ac:dyDescent="0.25">
      <c r="A6" s="9">
        <v>3</v>
      </c>
      <c r="B6" s="11" t="s">
        <v>110</v>
      </c>
      <c r="C6" s="9" t="s">
        <v>111</v>
      </c>
      <c r="D6" s="9">
        <v>2016</v>
      </c>
      <c r="E6" s="9" t="s">
        <v>20</v>
      </c>
      <c r="F6" s="9">
        <v>8</v>
      </c>
      <c r="G6" s="9">
        <v>2</v>
      </c>
      <c r="H6" s="9">
        <v>490809610</v>
      </c>
      <c r="I6" s="4">
        <v>46348</v>
      </c>
      <c r="J6" s="9">
        <f t="shared" ca="1" si="0"/>
        <v>132</v>
      </c>
      <c r="K6" s="4">
        <v>46284</v>
      </c>
      <c r="L6" s="9">
        <f t="shared" ca="1" si="1"/>
        <v>68</v>
      </c>
      <c r="M6" s="4">
        <v>46159</v>
      </c>
      <c r="N6" s="9">
        <f t="shared" ca="1" si="2"/>
        <v>-57</v>
      </c>
      <c r="O6" s="9" t="s">
        <v>112</v>
      </c>
    </row>
    <row r="7" spans="1:15" ht="25.5" customHeight="1" x14ac:dyDescent="0.25">
      <c r="A7" s="9">
        <v>4</v>
      </c>
      <c r="B7" s="12" t="s">
        <v>113</v>
      </c>
      <c r="C7" s="9" t="s">
        <v>114</v>
      </c>
      <c r="D7" s="9">
        <v>2023</v>
      </c>
      <c r="E7" s="9" t="s">
        <v>18</v>
      </c>
      <c r="F7" s="9">
        <v>8</v>
      </c>
      <c r="G7" s="9">
        <v>3</v>
      </c>
      <c r="H7" s="9">
        <v>978754020</v>
      </c>
      <c r="I7" s="9" t="s">
        <v>41</v>
      </c>
      <c r="J7" s="9" t="str">
        <f t="shared" ca="1" si="0"/>
        <v>-</v>
      </c>
      <c r="K7" s="4">
        <v>46398</v>
      </c>
      <c r="L7" s="9">
        <f t="shared" ca="1" si="1"/>
        <v>182</v>
      </c>
      <c r="M7" s="4">
        <v>46118</v>
      </c>
      <c r="N7" s="9">
        <f t="shared" ca="1" si="2"/>
        <v>-98</v>
      </c>
      <c r="O7" s="9" t="s">
        <v>115</v>
      </c>
    </row>
    <row r="8" spans="1:15" x14ac:dyDescent="0.25">
      <c r="A8" s="9">
        <v>5</v>
      </c>
      <c r="B8" s="11" t="s">
        <v>110</v>
      </c>
      <c r="C8" s="9" t="s">
        <v>116</v>
      </c>
      <c r="D8" s="9">
        <v>2016</v>
      </c>
      <c r="E8" s="9" t="s">
        <v>20</v>
      </c>
      <c r="F8" s="9">
        <v>8</v>
      </c>
      <c r="G8" s="9">
        <v>2</v>
      </c>
      <c r="H8" s="9">
        <v>621809610</v>
      </c>
      <c r="I8" s="9" t="s">
        <v>117</v>
      </c>
      <c r="J8" s="9" t="str">
        <f t="shared" ca="1" si="0"/>
        <v>-</v>
      </c>
      <c r="K8" s="4">
        <v>46259</v>
      </c>
      <c r="L8" s="9">
        <f t="shared" ca="1" si="1"/>
        <v>43</v>
      </c>
      <c r="M8" s="4">
        <v>46515</v>
      </c>
      <c r="N8" s="9">
        <f t="shared" ca="1" si="2"/>
        <v>299</v>
      </c>
      <c r="O8" s="9" t="s">
        <v>118</v>
      </c>
    </row>
    <row r="9" spans="1:15" x14ac:dyDescent="0.25">
      <c r="A9" s="9">
        <v>6</v>
      </c>
      <c r="B9" s="11" t="s">
        <v>110</v>
      </c>
      <c r="C9" s="9" t="s">
        <v>119</v>
      </c>
      <c r="D9" s="9">
        <v>2020</v>
      </c>
      <c r="E9" s="9" t="s">
        <v>19</v>
      </c>
      <c r="F9" s="9">
        <v>4</v>
      </c>
      <c r="G9" s="9">
        <v>3</v>
      </c>
      <c r="H9" s="9">
        <v>386860810</v>
      </c>
      <c r="I9" s="4">
        <v>46521</v>
      </c>
      <c r="J9" s="9">
        <f t="shared" ca="1" si="0"/>
        <v>305</v>
      </c>
      <c r="K9" s="4">
        <v>46275</v>
      </c>
      <c r="L9" s="9">
        <f t="shared" ca="1" si="1"/>
        <v>59</v>
      </c>
      <c r="M9" s="4">
        <v>46515</v>
      </c>
      <c r="N9" s="9">
        <f t="shared" ca="1" si="2"/>
        <v>299</v>
      </c>
      <c r="O9" s="15" t="s">
        <v>41</v>
      </c>
    </row>
  </sheetData>
  <mergeCells count="1">
    <mergeCell ref="A1:O1"/>
  </mergeCells>
  <conditionalFormatting sqref="J4:J9">
    <cfRule type="cellIs" dxfId="11" priority="2" operator="lessThan">
      <formula>0</formula>
    </cfRule>
    <cfRule type="cellIs" dxfId="10" priority="3" operator="between">
      <formula>0</formula>
      <formula>30</formula>
    </cfRule>
    <cfRule type="cellIs" dxfId="9" priority="4" operator="greaterThan">
      <formula>30</formula>
    </cfRule>
  </conditionalFormatting>
  <conditionalFormatting sqref="L4:L9">
    <cfRule type="cellIs" dxfId="8" priority="5" operator="lessThan">
      <formula>0</formula>
    </cfRule>
    <cfRule type="cellIs" dxfId="7" priority="6" operator="between">
      <formula>0</formula>
      <formula>30</formula>
    </cfRule>
    <cfRule type="cellIs" dxfId="6" priority="7" operator="greaterThan">
      <formula>30</formula>
    </cfRule>
  </conditionalFormatting>
  <conditionalFormatting sqref="N4:N9">
    <cfRule type="cellIs" dxfId="5" priority="8" operator="lessThan">
      <formula>0</formula>
    </cfRule>
    <cfRule type="cellIs" dxfId="4" priority="9" operator="between">
      <formula>0</formula>
      <formula>30</formula>
    </cfRule>
    <cfRule type="cellIs" dxfId="3" priority="10" operator="greaterThan">
      <formula>30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rightToLeft="1" zoomScaleNormal="100" workbookViewId="0">
      <selection activeCell="I4" sqref="I4"/>
    </sheetView>
  </sheetViews>
  <sheetFormatPr defaultColWidth="8.7109375" defaultRowHeight="15" x14ac:dyDescent="0.25"/>
  <cols>
    <col min="1" max="1" width="4" customWidth="1"/>
    <col min="2" max="2" width="12" customWidth="1"/>
    <col min="3" max="3" width="24" customWidth="1"/>
    <col min="4" max="4" width="13" customWidth="1"/>
    <col min="5" max="5" width="9" customWidth="1"/>
    <col min="6" max="6" width="15" customWidth="1"/>
    <col min="7" max="7" width="11" customWidth="1"/>
    <col min="8" max="8" width="13" customWidth="1"/>
    <col min="9" max="9" width="22" customWidth="1"/>
  </cols>
  <sheetData>
    <row r="1" spans="1:9" ht="30" customHeight="1" x14ac:dyDescent="0.25">
      <c r="A1" s="22" t="s">
        <v>120</v>
      </c>
      <c r="B1" s="23"/>
      <c r="C1" s="23"/>
      <c r="D1" s="23"/>
      <c r="E1" s="23"/>
      <c r="F1" s="23"/>
      <c r="G1" s="23"/>
      <c r="H1" s="23"/>
      <c r="I1" s="23"/>
    </row>
    <row r="3" spans="1:9" ht="30" customHeight="1" x14ac:dyDescent="0.25">
      <c r="A3" s="3" t="s">
        <v>9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35</v>
      </c>
      <c r="G3" s="3" t="s">
        <v>14</v>
      </c>
      <c r="H3" s="3" t="s">
        <v>38</v>
      </c>
      <c r="I3" s="3" t="s">
        <v>37</v>
      </c>
    </row>
    <row r="4" spans="1:9" x14ac:dyDescent="0.25">
      <c r="A4" s="9">
        <v>1</v>
      </c>
      <c r="B4" s="9">
        <v>102452</v>
      </c>
      <c r="C4" s="9" t="s">
        <v>121</v>
      </c>
      <c r="D4" s="9">
        <v>2550977850</v>
      </c>
      <c r="E4" s="9" t="s">
        <v>15</v>
      </c>
      <c r="F4" s="4">
        <v>46516</v>
      </c>
      <c r="G4" s="9">
        <f ca="1">IF(ISNUMBER(F4),F4-TODAY(),"-")</f>
        <v>300</v>
      </c>
      <c r="H4" s="9">
        <v>575806817</v>
      </c>
      <c r="I4" s="9" t="s">
        <v>41</v>
      </c>
    </row>
    <row r="5" spans="1:9" x14ac:dyDescent="0.25">
      <c r="A5" s="9">
        <v>2</v>
      </c>
      <c r="B5" s="9">
        <v>100321</v>
      </c>
      <c r="C5" s="9" t="s">
        <v>122</v>
      </c>
      <c r="D5" s="9">
        <v>2192810774</v>
      </c>
      <c r="E5" s="9" t="s">
        <v>16</v>
      </c>
      <c r="F5" s="9" t="s">
        <v>123</v>
      </c>
      <c r="G5" s="9" t="str">
        <f ca="1">IF(ISNUMBER(F5),F5-TODAY(),"-")</f>
        <v>-</v>
      </c>
      <c r="H5" s="9">
        <v>533858352</v>
      </c>
      <c r="I5" s="20" t="s">
        <v>124</v>
      </c>
    </row>
    <row r="6" spans="1:9" x14ac:dyDescent="0.25">
      <c r="A6" s="9">
        <v>3</v>
      </c>
      <c r="B6" s="9">
        <v>101225</v>
      </c>
      <c r="C6" s="9" t="s">
        <v>125</v>
      </c>
      <c r="D6" s="9">
        <v>2472649249</v>
      </c>
      <c r="E6" s="9" t="s">
        <v>16</v>
      </c>
      <c r="F6" s="4">
        <v>46515</v>
      </c>
      <c r="G6" s="9">
        <f ca="1">IF(ISNUMBER(F6),F6-TODAY(),"-")</f>
        <v>299</v>
      </c>
      <c r="H6" s="9">
        <v>501901731</v>
      </c>
      <c r="I6" s="9" t="s">
        <v>41</v>
      </c>
    </row>
  </sheetData>
  <mergeCells count="1">
    <mergeCell ref="A1:I1"/>
  </mergeCells>
  <conditionalFormatting sqref="G4:G6">
    <cfRule type="cellIs" dxfId="2" priority="2" operator="lessThan">
      <formula>0</formula>
    </cfRule>
    <cfRule type="cellIs" dxfId="1" priority="3" operator="between">
      <formula>0</formula>
      <formula>30</formula>
    </cfRule>
    <cfRule type="cellIs" dxfId="0" priority="4" operator="greaterThan">
      <formula>30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121"/>
  <sheetViews>
    <sheetView rightToLeft="1" workbookViewId="0"/>
  </sheetViews>
  <sheetFormatPr defaultRowHeight="15" x14ac:dyDescent="0.25"/>
  <sheetData>
    <row r="2" spans="1:6" x14ac:dyDescent="0.25">
      <c r="A2" t="str">
        <f>'المركبات النشطة'!C5</f>
        <v>شمون مياه ادريس مياه</v>
      </c>
      <c r="B2" t="str">
        <f>'المركبات النشطة'!F5</f>
        <v>ا س م  8013</v>
      </c>
      <c r="C2" t="s">
        <v>126</v>
      </c>
      <c r="D2" s="1">
        <f>'المركبات النشطة'!L5</f>
        <v>46478</v>
      </c>
      <c r="E2">
        <f ca="1">'المركبات النشطة'!M5</f>
        <v>262</v>
      </c>
      <c r="F2">
        <f t="shared" ref="F2:F33" ca="1" si="0">IF(ISNUMBER(E2),E2+ROW()/100000,"")</f>
        <v>262.00002000000001</v>
      </c>
    </row>
    <row r="3" spans="1:6" x14ac:dyDescent="0.25">
      <c r="A3" t="str">
        <f>'المركبات النشطة'!C6</f>
        <v>مارييل فينود</v>
      </c>
      <c r="B3" t="str">
        <f>'المركبات النشطة'!F6</f>
        <v>أ س م 8025</v>
      </c>
      <c r="C3" t="s">
        <v>126</v>
      </c>
      <c r="D3" s="1">
        <f>'المركبات النشطة'!L6</f>
        <v>46309</v>
      </c>
      <c r="E3">
        <f ca="1">'المركبات النشطة'!M6</f>
        <v>93</v>
      </c>
      <c r="F3">
        <f t="shared" ca="1" si="0"/>
        <v>93.000029999999995</v>
      </c>
    </row>
    <row r="4" spans="1:6" x14ac:dyDescent="0.25">
      <c r="A4" t="str">
        <f>'المركبات النشطة'!C7</f>
        <v>محمد عبدالصبور عبدالعزيز</v>
      </c>
      <c r="B4" t="str">
        <f>'المركبات النشطة'!F7</f>
        <v>ا س م 8024</v>
      </c>
      <c r="C4" t="s">
        <v>126</v>
      </c>
      <c r="D4" s="1">
        <f>'المركبات النشطة'!L7</f>
        <v>46309</v>
      </c>
      <c r="E4">
        <f ca="1">'المركبات النشطة'!M7</f>
        <v>93</v>
      </c>
      <c r="F4">
        <f t="shared" ca="1" si="0"/>
        <v>93.000039999999998</v>
      </c>
    </row>
    <row r="5" spans="1:6" x14ac:dyDescent="0.25">
      <c r="A5" t="str">
        <f>'المركبات النشطة'!C8</f>
        <v>كابيل مياه</v>
      </c>
      <c r="B5" t="str">
        <f>'المركبات النشطة'!F8</f>
        <v>ا س ح  8714</v>
      </c>
      <c r="C5" t="s">
        <v>126</v>
      </c>
      <c r="D5" s="1">
        <f>'المركبات النشطة'!L8</f>
        <v>46295</v>
      </c>
      <c r="E5">
        <f ca="1">'المركبات النشطة'!M8</f>
        <v>79</v>
      </c>
      <c r="F5">
        <f t="shared" ca="1" si="0"/>
        <v>79.000050000000002</v>
      </c>
    </row>
    <row r="6" spans="1:6" x14ac:dyDescent="0.25">
      <c r="A6" t="str">
        <f>'المركبات النشطة'!C9</f>
        <v>تنفير حسين</v>
      </c>
      <c r="B6" t="str">
        <f>'المركبات النشطة'!F9</f>
        <v>ا ر ع  2234</v>
      </c>
      <c r="C6" t="s">
        <v>126</v>
      </c>
      <c r="D6" s="1">
        <f>'المركبات النشطة'!L9</f>
        <v>46563</v>
      </c>
      <c r="E6">
        <f ca="1">'المركبات النشطة'!M9</f>
        <v>347</v>
      </c>
      <c r="F6">
        <f t="shared" ca="1" si="0"/>
        <v>347.00006000000002</v>
      </c>
    </row>
    <row r="7" spans="1:6" x14ac:dyDescent="0.25">
      <c r="A7" t="str">
        <f>'المركبات النشطة'!C10</f>
        <v>محمد مصلح حمادي محسن</v>
      </c>
      <c r="B7" t="str">
        <f>'المركبات النشطة'!F10</f>
        <v>ا ر و 4140</v>
      </c>
      <c r="C7" t="s">
        <v>126</v>
      </c>
      <c r="D7" s="1">
        <f>'المركبات النشطة'!L10</f>
        <v>46475</v>
      </c>
      <c r="E7">
        <f ca="1">'المركبات النشطة'!M10</f>
        <v>259</v>
      </c>
      <c r="F7">
        <f t="shared" ca="1" si="0"/>
        <v>259.00006999999999</v>
      </c>
    </row>
    <row r="8" spans="1:6" x14ac:dyDescent="0.25">
      <c r="A8" t="str">
        <f>'المركبات النشطة'!C11</f>
        <v>علاء عبد النبي رفاعي احمد</v>
      </c>
      <c r="B8" t="str">
        <f>'المركبات النشطة'!F11</f>
        <v>ا س  8015</v>
      </c>
      <c r="C8" t="s">
        <v>126</v>
      </c>
      <c r="D8" s="1">
        <f>'المركبات النشطة'!L11</f>
        <v>46536</v>
      </c>
      <c r="E8">
        <f ca="1">'المركبات النشطة'!M11</f>
        <v>320</v>
      </c>
      <c r="F8">
        <f t="shared" ca="1" si="0"/>
        <v>320.00008000000003</v>
      </c>
    </row>
    <row r="9" spans="1:6" x14ac:dyDescent="0.25">
      <c r="A9" t="str">
        <f>'المركبات النشطة'!C12</f>
        <v>رفيق اسان بيلات</v>
      </c>
      <c r="B9" t="str">
        <f>'المركبات النشطة'!F12</f>
        <v>ا س ق 7776</v>
      </c>
      <c r="C9" t="s">
        <v>126</v>
      </c>
      <c r="D9" s="1">
        <f>'المركبات النشطة'!L12</f>
        <v>46384</v>
      </c>
      <c r="E9">
        <f ca="1">'المركبات النشطة'!M12</f>
        <v>168</v>
      </c>
      <c r="F9">
        <f t="shared" ca="1" si="0"/>
        <v>168.00009</v>
      </c>
    </row>
    <row r="10" spans="1:6" x14ac:dyDescent="0.25">
      <c r="A10" t="str">
        <f>'المركبات النشطة'!C13</f>
        <v>ابراهيم محمد ابوزيد محمد</v>
      </c>
      <c r="B10" t="str">
        <f>'المركبات النشطة'!F13</f>
        <v>أ ر ع  2233</v>
      </c>
      <c r="C10" t="s">
        <v>126</v>
      </c>
      <c r="D10" s="1">
        <f>'المركبات النشطة'!L13</f>
        <v>46213</v>
      </c>
      <c r="E10">
        <f ca="1">'المركبات النشطة'!M13</f>
        <v>-3</v>
      </c>
      <c r="F10">
        <f t="shared" ca="1" si="0"/>
        <v>-2.9998999999999998</v>
      </c>
    </row>
    <row r="11" spans="1:6" x14ac:dyDescent="0.25">
      <c r="A11" t="str">
        <f>'المركبات النشطة'!C14</f>
        <v>انفير كاريماري عمير</v>
      </c>
      <c r="B11" t="str">
        <f>'المركبات النشطة'!F14</f>
        <v>ا ر و 4085</v>
      </c>
      <c r="C11" t="s">
        <v>126</v>
      </c>
      <c r="D11" s="1">
        <f>'المركبات النشطة'!L14</f>
        <v>46446</v>
      </c>
      <c r="E11">
        <f ca="1">'المركبات النشطة'!M14</f>
        <v>230</v>
      </c>
      <c r="F11">
        <f t="shared" ca="1" si="0"/>
        <v>230.00011000000001</v>
      </c>
    </row>
    <row r="12" spans="1:6" x14ac:dyDescent="0.25">
      <c r="A12" t="str">
        <f>'المركبات النشطة'!C15</f>
        <v>ارجوان</v>
      </c>
      <c r="B12" t="str">
        <f>'المركبات النشطة'!F15</f>
        <v>ا س م 8033</v>
      </c>
      <c r="C12" t="s">
        <v>126</v>
      </c>
      <c r="D12" s="1">
        <f>'المركبات النشطة'!L15</f>
        <v>46478</v>
      </c>
      <c r="E12">
        <f ca="1">'المركبات النشطة'!M15</f>
        <v>262</v>
      </c>
      <c r="F12">
        <f t="shared" ca="1" si="0"/>
        <v>262.00011999999998</v>
      </c>
    </row>
    <row r="13" spans="1:6" x14ac:dyDescent="0.25">
      <c r="A13" t="str">
        <f>'المركبات النشطة'!C16</f>
        <v>اجيت راجا</v>
      </c>
      <c r="B13" t="str">
        <f>'المركبات النشطة'!F16</f>
        <v>ا ر و 4084</v>
      </c>
      <c r="C13" t="s">
        <v>126</v>
      </c>
      <c r="D13" s="1">
        <f>'المركبات النشطة'!L16</f>
        <v>46384</v>
      </c>
      <c r="E13">
        <f ca="1">'المركبات النشطة'!M16</f>
        <v>168</v>
      </c>
      <c r="F13">
        <f t="shared" ca="1" si="0"/>
        <v>168.00013000000001</v>
      </c>
    </row>
    <row r="14" spans="1:6" x14ac:dyDescent="0.25">
      <c r="A14" t="str">
        <f>'المركبات النشطة'!C17</f>
        <v>سليم اختر محمد</v>
      </c>
      <c r="B14" t="str">
        <f>'المركبات النشطة'!F17</f>
        <v>ا س ح 8670</v>
      </c>
      <c r="C14" t="s">
        <v>126</v>
      </c>
      <c r="D14" s="1">
        <f>'المركبات النشطة'!L17</f>
        <v>46338</v>
      </c>
      <c r="E14">
        <f ca="1">'المركبات النشطة'!M17</f>
        <v>122</v>
      </c>
      <c r="F14">
        <f t="shared" ca="1" si="0"/>
        <v>122.00014</v>
      </c>
    </row>
    <row r="15" spans="1:6" x14ac:dyDescent="0.25">
      <c r="A15" t="str">
        <f>'المركبات النشطة'!C18</f>
        <v>محمد عبدالنبي رفاعي احمد</v>
      </c>
      <c r="B15" t="str">
        <f>'المركبات النشطة'!F18</f>
        <v>ا ص ق 6853</v>
      </c>
      <c r="C15" t="s">
        <v>126</v>
      </c>
      <c r="D15" s="1">
        <f>'المركبات النشطة'!L18</f>
        <v>46476</v>
      </c>
      <c r="E15">
        <f ca="1">'المركبات النشطة'!M18</f>
        <v>260</v>
      </c>
      <c r="F15">
        <f t="shared" ca="1" si="0"/>
        <v>260.00015000000002</v>
      </c>
    </row>
    <row r="16" spans="1:6" x14ac:dyDescent="0.25">
      <c r="A16" t="str">
        <f>'المركبات النشطة'!C19</f>
        <v>اسف باث شوهل</v>
      </c>
      <c r="B16" t="str">
        <f>'المركبات النشطة'!F19</f>
        <v>ا س ح  8717</v>
      </c>
      <c r="C16" t="s">
        <v>126</v>
      </c>
      <c r="D16" s="1">
        <f>'المركبات النشطة'!L19</f>
        <v>46467</v>
      </c>
      <c r="E16">
        <f ca="1">'المركبات النشطة'!M19</f>
        <v>251</v>
      </c>
      <c r="F16">
        <f t="shared" ca="1" si="0"/>
        <v>251.00015999999999</v>
      </c>
    </row>
    <row r="17" spans="1:6" x14ac:dyDescent="0.25">
      <c r="A17" t="str">
        <f>'المركبات النشطة'!C20</f>
        <v>فالق سجاد سجاد</v>
      </c>
      <c r="B17" t="str">
        <f>'المركبات النشطة'!F20</f>
        <v>ا س م 8029</v>
      </c>
      <c r="C17" t="s">
        <v>126</v>
      </c>
      <c r="D17" s="1">
        <f>'المركبات النشطة'!L20</f>
        <v>46474</v>
      </c>
      <c r="E17">
        <f ca="1">'المركبات النشطة'!M20</f>
        <v>258</v>
      </c>
      <c r="F17">
        <f t="shared" ca="1" si="0"/>
        <v>258.00017000000003</v>
      </c>
    </row>
    <row r="18" spans="1:6" x14ac:dyDescent="0.25">
      <c r="A18" t="str">
        <f>'المركبات النشطة'!C21</f>
        <v>موزيد خان</v>
      </c>
      <c r="B18" t="str">
        <f>'المركبات النشطة'!F21</f>
        <v>ا س ل 8850</v>
      </c>
      <c r="C18" t="s">
        <v>126</v>
      </c>
      <c r="D18" s="1">
        <f>'المركبات النشطة'!L21</f>
        <v>46348</v>
      </c>
      <c r="E18">
        <f ca="1">'المركبات النشطة'!M21</f>
        <v>132</v>
      </c>
      <c r="F18">
        <f t="shared" ca="1" si="0"/>
        <v>132.00018</v>
      </c>
    </row>
    <row r="19" spans="1:6" x14ac:dyDescent="0.25">
      <c r="A19" t="str">
        <f>'المركبات النشطة'!C22</f>
        <v>بسام علي احمد الجلال</v>
      </c>
      <c r="B19" t="str">
        <f>'المركبات النشطة'!F22</f>
        <v>ا س م 8023</v>
      </c>
      <c r="C19" t="s">
        <v>126</v>
      </c>
      <c r="D19" s="1">
        <f>'المركبات النشطة'!L22</f>
        <v>46310</v>
      </c>
      <c r="E19">
        <f ca="1">'المركبات النشطة'!M22</f>
        <v>94</v>
      </c>
      <c r="F19">
        <f t="shared" ca="1" si="0"/>
        <v>94.000190000000003</v>
      </c>
    </row>
    <row r="20" spans="1:6" x14ac:dyDescent="0.25">
      <c r="A20" t="str">
        <f>'المركبات النشطة'!C23</f>
        <v>كرم ابو الهدى صادق</v>
      </c>
      <c r="B20" t="str">
        <f>'المركبات النشطة'!F23</f>
        <v>ا ر و  4071</v>
      </c>
      <c r="C20" t="s">
        <v>126</v>
      </c>
      <c r="D20" s="1">
        <f>'المركبات النشطة'!L23</f>
        <v>46359</v>
      </c>
      <c r="E20">
        <f ca="1">'المركبات النشطة'!M23</f>
        <v>143</v>
      </c>
      <c r="F20">
        <f t="shared" ca="1" si="0"/>
        <v>143.00020000000001</v>
      </c>
    </row>
    <row r="21" spans="1:6" x14ac:dyDescent="0.25">
      <c r="A21" t="str">
        <f>'المركبات النشطة'!C24</f>
        <v>مران حسين مد تارو</v>
      </c>
      <c r="B21" t="str">
        <f>'المركبات النشطة'!F24</f>
        <v>ا س م 8031</v>
      </c>
      <c r="C21" t="s">
        <v>126</v>
      </c>
      <c r="D21" s="1">
        <f>'المركبات النشطة'!L24</f>
        <v>46476</v>
      </c>
      <c r="E21">
        <f ca="1">'المركبات النشطة'!M24</f>
        <v>260</v>
      </c>
      <c r="F21">
        <f t="shared" ca="1" si="0"/>
        <v>260.00020999999998</v>
      </c>
    </row>
    <row r="22" spans="1:6" x14ac:dyDescent="0.25">
      <c r="A22" t="str">
        <f>'المركبات النشطة'!C25</f>
        <v>محمد عبدالحميد محمد</v>
      </c>
      <c r="B22" t="str">
        <f>'المركبات النشطة'!F25</f>
        <v>ا س م  8035</v>
      </c>
      <c r="C22" t="s">
        <v>126</v>
      </c>
      <c r="D22" s="1">
        <f>'المركبات النشطة'!L25</f>
        <v>46480</v>
      </c>
      <c r="E22">
        <f ca="1">'المركبات النشطة'!M25</f>
        <v>264</v>
      </c>
      <c r="F22">
        <f t="shared" ca="1" si="0"/>
        <v>264.00022000000001</v>
      </c>
    </row>
    <row r="23" spans="1:6" x14ac:dyDescent="0.25">
      <c r="A23" t="str">
        <f>'المركبات النشطة'!C26</f>
        <v>احمد عبدالصبور رشوان</v>
      </c>
      <c r="B23" t="str">
        <f>'المركبات النشطة'!F26</f>
        <v>ا س م  8021</v>
      </c>
      <c r="C23" t="s">
        <v>126</v>
      </c>
      <c r="D23" s="1">
        <f>'المركبات النشطة'!L26</f>
        <v>46321</v>
      </c>
      <c r="E23">
        <f ca="1">'المركبات النشطة'!M26</f>
        <v>105</v>
      </c>
      <c r="F23">
        <f t="shared" ca="1" si="0"/>
        <v>105.00023</v>
      </c>
    </row>
    <row r="24" spans="1:6" x14ac:dyDescent="0.25">
      <c r="A24" t="str">
        <f>'المركبات النشطة'!C27</f>
        <v>انصار الم</v>
      </c>
      <c r="B24" t="str">
        <f>'المركبات النشطة'!F27</f>
        <v>ا ر و  4139</v>
      </c>
      <c r="C24" t="s">
        <v>126</v>
      </c>
      <c r="D24" s="1">
        <f>'المركبات النشطة'!L27</f>
        <v>47027</v>
      </c>
      <c r="E24">
        <f ca="1">'المركبات النشطة'!M27</f>
        <v>811</v>
      </c>
      <c r="F24">
        <f t="shared" ca="1" si="0"/>
        <v>811.00023999999996</v>
      </c>
    </row>
    <row r="25" spans="1:6" x14ac:dyDescent="0.25">
      <c r="A25" t="str">
        <f>'المركبات النشطة'!C28</f>
        <v>شندان دبينات</v>
      </c>
      <c r="B25" t="str">
        <f>'المركبات النشطة'!F28</f>
        <v>ا ر و 4141</v>
      </c>
      <c r="C25" t="s">
        <v>126</v>
      </c>
      <c r="D25" s="1">
        <f>'المركبات النشطة'!L28</f>
        <v>46413</v>
      </c>
      <c r="E25">
        <f ca="1">'المركبات النشطة'!M28</f>
        <v>197</v>
      </c>
      <c r="F25">
        <f t="shared" ca="1" si="0"/>
        <v>197.00024999999999</v>
      </c>
    </row>
    <row r="26" spans="1:6" x14ac:dyDescent="0.25">
      <c r="A26" t="str">
        <f>'المركبات النشطة'!C29</f>
        <v>مد سيف الاسلام</v>
      </c>
      <c r="B26" t="str">
        <f>'المركبات النشطة'!F29</f>
        <v>ا ر ع 2240</v>
      </c>
      <c r="C26" t="s">
        <v>126</v>
      </c>
      <c r="D26" s="1">
        <f>'المركبات النشطة'!L29</f>
        <v>46637</v>
      </c>
      <c r="E26">
        <f ca="1">'المركبات النشطة'!M29</f>
        <v>421</v>
      </c>
      <c r="F26">
        <f t="shared" ca="1" si="0"/>
        <v>421.00026000000003</v>
      </c>
    </row>
    <row r="27" spans="1:6" x14ac:dyDescent="0.25">
      <c r="A27" t="str">
        <f>'المركبات النشطة'!C30</f>
        <v>شوكت علي</v>
      </c>
      <c r="B27" t="str">
        <f>'المركبات النشطة'!F30</f>
        <v>أ س ر 8873</v>
      </c>
      <c r="C27" t="s">
        <v>126</v>
      </c>
      <c r="D27" s="1">
        <f>'المركبات النشطة'!L30</f>
        <v>46296</v>
      </c>
      <c r="E27">
        <f ca="1">'المركبات النشطة'!M30</f>
        <v>80</v>
      </c>
      <c r="F27">
        <f t="shared" ca="1" si="0"/>
        <v>80.00027</v>
      </c>
    </row>
    <row r="28" spans="1:6" x14ac:dyDescent="0.25">
      <c r="A28" t="str">
        <f>'المركبات النشطة'!C31</f>
        <v>علي محمد ابوزيد محمد</v>
      </c>
      <c r="B28" t="str">
        <f>'المركبات النشطة'!F31</f>
        <v>ا ر ل  5580</v>
      </c>
      <c r="C28" t="s">
        <v>126</v>
      </c>
      <c r="D28" s="1">
        <f>'المركبات النشطة'!L31</f>
        <v>46552</v>
      </c>
      <c r="E28">
        <f ca="1">'المركبات النشطة'!M31</f>
        <v>336</v>
      </c>
      <c r="F28">
        <f t="shared" ca="1" si="0"/>
        <v>336.00027999999998</v>
      </c>
    </row>
    <row r="29" spans="1:6" x14ac:dyDescent="0.25">
      <c r="A29" t="str">
        <f>'المركبات النشطة'!C32</f>
        <v>انال كومار</v>
      </c>
      <c r="B29" t="str">
        <f>'المركبات النشطة'!F32</f>
        <v>ا س ح 8715</v>
      </c>
      <c r="C29" t="s">
        <v>126</v>
      </c>
      <c r="D29" s="1">
        <f>'المركبات النشطة'!L32</f>
        <v>46433</v>
      </c>
      <c r="E29">
        <f ca="1">'المركبات النشطة'!M32</f>
        <v>217</v>
      </c>
      <c r="F29">
        <f t="shared" ca="1" si="0"/>
        <v>217.00029000000001</v>
      </c>
    </row>
    <row r="30" spans="1:6" x14ac:dyDescent="0.25">
      <c r="A30" t="str">
        <f>'المركبات النشطة'!C33</f>
        <v>احمد دنقل</v>
      </c>
      <c r="B30" t="str">
        <f>'المركبات النشطة'!F33</f>
        <v>ا ص ا 7810</v>
      </c>
      <c r="C30" t="s">
        <v>126</v>
      </c>
      <c r="D30" s="1">
        <f>'المركبات النشطة'!L33</f>
        <v>46258</v>
      </c>
      <c r="E30">
        <f ca="1">'المركبات النشطة'!M33</f>
        <v>42</v>
      </c>
      <c r="F30">
        <f t="shared" ca="1" si="0"/>
        <v>42.000300000000003</v>
      </c>
    </row>
    <row r="31" spans="1:6" x14ac:dyDescent="0.25">
      <c r="A31" t="str">
        <f>'المركبات النشطة'!C34</f>
        <v>محمد عبدالرحمن السيد المندوه</v>
      </c>
      <c r="B31" t="str">
        <f>'المركبات النشطة'!F34</f>
        <v>أ ص ق 6855</v>
      </c>
      <c r="C31" t="s">
        <v>126</v>
      </c>
      <c r="D31" s="1">
        <f>'المركبات النشطة'!L34</f>
        <v>46478</v>
      </c>
      <c r="E31">
        <f ca="1">'المركبات النشطة'!M34</f>
        <v>262</v>
      </c>
      <c r="F31">
        <f t="shared" ca="1" si="0"/>
        <v>262.00031000000001</v>
      </c>
    </row>
    <row r="32" spans="1:6" x14ac:dyDescent="0.25">
      <c r="A32" t="str">
        <f>'المركبات النشطة'!C5</f>
        <v>شمون مياه ادريس مياه</v>
      </c>
      <c r="B32" t="str">
        <f>'المركبات النشطة'!F5</f>
        <v>ا س م  8013</v>
      </c>
      <c r="C32" t="s">
        <v>127</v>
      </c>
      <c r="D32" s="1">
        <f>'المركبات النشطة'!N5</f>
        <v>46397</v>
      </c>
      <c r="E32">
        <f ca="1">'المركبات النشطة'!O5</f>
        <v>181</v>
      </c>
      <c r="F32">
        <f t="shared" ca="1" si="0"/>
        <v>181.00031999999999</v>
      </c>
    </row>
    <row r="33" spans="1:6" x14ac:dyDescent="0.25">
      <c r="A33" t="str">
        <f>'المركبات النشطة'!C6</f>
        <v>مارييل فينود</v>
      </c>
      <c r="B33" t="str">
        <f>'المركبات النشطة'!F6</f>
        <v>أ س م 8025</v>
      </c>
      <c r="C33" t="s">
        <v>127</v>
      </c>
      <c r="D33" s="1">
        <f>'المركبات النشطة'!N6</f>
        <v>46398</v>
      </c>
      <c r="E33">
        <f ca="1">'المركبات النشطة'!O6</f>
        <v>182</v>
      </c>
      <c r="F33">
        <f t="shared" ca="1" si="0"/>
        <v>182.00032999999999</v>
      </c>
    </row>
    <row r="34" spans="1:6" x14ac:dyDescent="0.25">
      <c r="A34" t="str">
        <f>'المركبات النشطة'!C7</f>
        <v>محمد عبدالصبور عبدالعزيز</v>
      </c>
      <c r="B34" t="str">
        <f>'المركبات النشطة'!F7</f>
        <v>ا س م 8024</v>
      </c>
      <c r="C34" t="s">
        <v>127</v>
      </c>
      <c r="D34" s="1">
        <f>'المركبات النشطة'!N7</f>
        <v>46398</v>
      </c>
      <c r="E34">
        <f ca="1">'المركبات النشطة'!O7</f>
        <v>182</v>
      </c>
      <c r="F34">
        <f t="shared" ref="F34:F65" ca="1" si="1">IF(ISNUMBER(E34),E34+ROW()/100000,"")</f>
        <v>182.00033999999999</v>
      </c>
    </row>
    <row r="35" spans="1:6" x14ac:dyDescent="0.25">
      <c r="A35" t="str">
        <f>'المركبات النشطة'!C8</f>
        <v>كابيل مياه</v>
      </c>
      <c r="B35" t="str">
        <f>'المركبات النشطة'!F8</f>
        <v>ا س ح  8714</v>
      </c>
      <c r="C35" t="s">
        <v>127</v>
      </c>
      <c r="D35" s="1">
        <f>'المركبات النشطة'!N8</f>
        <v>47192</v>
      </c>
      <c r="E35">
        <f ca="1">'المركبات النشطة'!O8</f>
        <v>976</v>
      </c>
      <c r="F35">
        <f t="shared" ca="1" si="1"/>
        <v>976.00035000000003</v>
      </c>
    </row>
    <row r="36" spans="1:6" x14ac:dyDescent="0.25">
      <c r="A36" t="str">
        <f>'المركبات النشطة'!C9</f>
        <v>تنفير حسين</v>
      </c>
      <c r="B36" t="str">
        <f>'المركبات النشطة'!F9</f>
        <v>ا ر ع  2234</v>
      </c>
      <c r="C36" t="s">
        <v>127</v>
      </c>
      <c r="D36" s="1">
        <f>'المركبات النشطة'!N9</f>
        <v>46272</v>
      </c>
      <c r="E36">
        <f ca="1">'المركبات النشطة'!O9</f>
        <v>56</v>
      </c>
      <c r="F36">
        <f t="shared" ca="1" si="1"/>
        <v>56.000360000000001</v>
      </c>
    </row>
    <row r="37" spans="1:6" x14ac:dyDescent="0.25">
      <c r="A37" t="str">
        <f>'المركبات النشطة'!C10</f>
        <v>محمد مصلح حمادي محسن</v>
      </c>
      <c r="B37" t="str">
        <f>'المركبات النشطة'!F10</f>
        <v>ا ر و 4140</v>
      </c>
      <c r="C37" t="s">
        <v>127</v>
      </c>
      <c r="D37" s="1">
        <f>'المركبات النشطة'!N10</f>
        <v>46997</v>
      </c>
      <c r="E37">
        <f ca="1">'المركبات النشطة'!O10</f>
        <v>781</v>
      </c>
      <c r="F37">
        <f t="shared" ca="1" si="1"/>
        <v>781.00036999999998</v>
      </c>
    </row>
    <row r="38" spans="1:6" x14ac:dyDescent="0.25">
      <c r="A38" t="str">
        <f>'المركبات النشطة'!C11</f>
        <v>علاء عبد النبي رفاعي احمد</v>
      </c>
      <c r="B38" t="str">
        <f>'المركبات النشطة'!F11</f>
        <v>ا س  8015</v>
      </c>
      <c r="C38" t="s">
        <v>127</v>
      </c>
      <c r="D38" s="1">
        <f>'المركبات النشطة'!N11</f>
        <v>46398</v>
      </c>
      <c r="E38">
        <f ca="1">'المركبات النشطة'!O11</f>
        <v>182</v>
      </c>
      <c r="F38">
        <f t="shared" ca="1" si="1"/>
        <v>182.00038000000001</v>
      </c>
    </row>
    <row r="39" spans="1:6" x14ac:dyDescent="0.25">
      <c r="A39" t="str">
        <f>'المركبات النشطة'!C12</f>
        <v>رفيق اسان بيلات</v>
      </c>
      <c r="B39" t="str">
        <f>'المركبات النشطة'!F12</f>
        <v>ا س ق 7776</v>
      </c>
      <c r="C39" t="s">
        <v>127</v>
      </c>
      <c r="D39" s="1">
        <f>'المركبات النشطة'!N12</f>
        <v>46282</v>
      </c>
      <c r="E39">
        <f ca="1">'المركبات النشطة'!O12</f>
        <v>66</v>
      </c>
      <c r="F39">
        <f t="shared" ca="1" si="1"/>
        <v>66.000389999999996</v>
      </c>
    </row>
    <row r="40" spans="1:6" x14ac:dyDescent="0.25">
      <c r="A40" t="str">
        <f>'المركبات النشطة'!C13</f>
        <v>ابراهيم محمد ابوزيد محمد</v>
      </c>
      <c r="B40" t="str">
        <f>'المركبات النشطة'!F13</f>
        <v>أ ر ع  2233</v>
      </c>
      <c r="C40" t="s">
        <v>127</v>
      </c>
      <c r="D40" s="1">
        <f>'المركبات النشطة'!N13</f>
        <v>46272</v>
      </c>
      <c r="E40">
        <f ca="1">'المركبات النشطة'!O13</f>
        <v>56</v>
      </c>
      <c r="F40">
        <f t="shared" ca="1" si="1"/>
        <v>56.000399999999999</v>
      </c>
    </row>
    <row r="41" spans="1:6" x14ac:dyDescent="0.25">
      <c r="A41" t="str">
        <f>'المركبات النشطة'!C14</f>
        <v>انفير كاريماري عمير</v>
      </c>
      <c r="B41" t="str">
        <f>'المركبات النشطة'!F14</f>
        <v>ا ر و 4085</v>
      </c>
      <c r="C41" t="s">
        <v>127</v>
      </c>
      <c r="D41" s="1">
        <f>'المركبات النشطة'!N14</f>
        <v>46858</v>
      </c>
      <c r="E41">
        <f ca="1">'المركبات النشطة'!O14</f>
        <v>642</v>
      </c>
      <c r="F41">
        <f t="shared" ca="1" si="1"/>
        <v>642.00040999999999</v>
      </c>
    </row>
    <row r="42" spans="1:6" x14ac:dyDescent="0.25">
      <c r="A42" t="str">
        <f>'المركبات النشطة'!C15</f>
        <v>ارجوان</v>
      </c>
      <c r="B42" t="str">
        <f>'المركبات النشطة'!F15</f>
        <v>ا س م 8033</v>
      </c>
      <c r="C42" t="s">
        <v>127</v>
      </c>
      <c r="D42" s="1">
        <f>'المركبات النشطة'!N15</f>
        <v>46398</v>
      </c>
      <c r="E42">
        <f ca="1">'المركبات النشطة'!O15</f>
        <v>182</v>
      </c>
      <c r="F42">
        <f t="shared" ca="1" si="1"/>
        <v>182.00041999999999</v>
      </c>
    </row>
    <row r="43" spans="1:6" x14ac:dyDescent="0.25">
      <c r="A43" t="str">
        <f>'المركبات النشطة'!C16</f>
        <v>اجيت راجا</v>
      </c>
      <c r="B43" t="str">
        <f>'المركبات النشطة'!F16</f>
        <v>ا ر و 4084</v>
      </c>
      <c r="C43" t="s">
        <v>127</v>
      </c>
      <c r="D43" s="1">
        <f>'المركبات النشطة'!N16</f>
        <v>46858</v>
      </c>
      <c r="E43">
        <f ca="1">'المركبات النشطة'!O16</f>
        <v>642</v>
      </c>
      <c r="F43">
        <f t="shared" ca="1" si="1"/>
        <v>642.00043000000005</v>
      </c>
    </row>
    <row r="44" spans="1:6" x14ac:dyDescent="0.25">
      <c r="A44" t="str">
        <f>'المركبات النشطة'!C17</f>
        <v>سليم اختر محمد</v>
      </c>
      <c r="B44" t="str">
        <f>'المركبات النشطة'!F17</f>
        <v>ا س ح 8670</v>
      </c>
      <c r="C44" t="s">
        <v>127</v>
      </c>
      <c r="D44" s="1">
        <f>'المركبات النشطة'!N17</f>
        <v>47153</v>
      </c>
      <c r="E44">
        <f ca="1">'المركبات النشطة'!O17</f>
        <v>937</v>
      </c>
      <c r="F44">
        <f t="shared" ca="1" si="1"/>
        <v>937.00044000000003</v>
      </c>
    </row>
    <row r="45" spans="1:6" x14ac:dyDescent="0.25">
      <c r="A45" t="str">
        <f>'المركبات النشطة'!C18</f>
        <v>محمد عبدالنبي رفاعي احمد</v>
      </c>
      <c r="B45" t="str">
        <f>'المركبات النشطة'!F18</f>
        <v>ا ص ق 6853</v>
      </c>
      <c r="C45" t="s">
        <v>127</v>
      </c>
      <c r="D45" s="1">
        <f>'المركبات النشطة'!N18</f>
        <v>46583</v>
      </c>
      <c r="E45">
        <f ca="1">'المركبات النشطة'!O18</f>
        <v>367</v>
      </c>
      <c r="F45">
        <f t="shared" ca="1" si="1"/>
        <v>367.00045</v>
      </c>
    </row>
    <row r="46" spans="1:6" x14ac:dyDescent="0.25">
      <c r="A46" t="str">
        <f>'المركبات النشطة'!C19</f>
        <v>اسف باث شوهل</v>
      </c>
      <c r="B46" t="str">
        <f>'المركبات النشطة'!F19</f>
        <v>ا س ح  8717</v>
      </c>
      <c r="C46" t="s">
        <v>127</v>
      </c>
      <c r="D46" s="1">
        <f>'المركبات النشطة'!N19</f>
        <v>47192</v>
      </c>
      <c r="E46">
        <f ca="1">'المركبات النشطة'!O19</f>
        <v>976</v>
      </c>
      <c r="F46">
        <f t="shared" ca="1" si="1"/>
        <v>976.00045999999998</v>
      </c>
    </row>
    <row r="47" spans="1:6" x14ac:dyDescent="0.25">
      <c r="A47" t="str">
        <f>'المركبات النشطة'!C20</f>
        <v>فالق سجاد سجاد</v>
      </c>
      <c r="B47" t="str">
        <f>'المركبات النشطة'!F20</f>
        <v>ا س م 8029</v>
      </c>
      <c r="C47" t="s">
        <v>127</v>
      </c>
      <c r="D47" s="1">
        <f>'المركبات النشطة'!N20</f>
        <v>46398</v>
      </c>
      <c r="E47">
        <f ca="1">'المركبات النشطة'!O20</f>
        <v>182</v>
      </c>
      <c r="F47">
        <f t="shared" ca="1" si="1"/>
        <v>182.00047000000001</v>
      </c>
    </row>
    <row r="48" spans="1:6" x14ac:dyDescent="0.25">
      <c r="A48" t="str">
        <f>'المركبات النشطة'!C21</f>
        <v>موزيد خان</v>
      </c>
      <c r="B48" t="str">
        <f>'المركبات النشطة'!F21</f>
        <v>ا س ل 8850</v>
      </c>
      <c r="C48" t="s">
        <v>127</v>
      </c>
      <c r="D48" s="1">
        <f>'المركبات النشطة'!N21</f>
        <v>46303</v>
      </c>
      <c r="E48">
        <f ca="1">'المركبات النشطة'!O21</f>
        <v>87</v>
      </c>
      <c r="F48">
        <f t="shared" ca="1" si="1"/>
        <v>87.000479999999996</v>
      </c>
    </row>
    <row r="49" spans="1:6" x14ac:dyDescent="0.25">
      <c r="A49" t="str">
        <f>'المركبات النشطة'!C22</f>
        <v>بسام علي احمد الجلال</v>
      </c>
      <c r="B49" t="str">
        <f>'المركبات النشطة'!F22</f>
        <v>ا س م 8023</v>
      </c>
      <c r="C49" t="s">
        <v>127</v>
      </c>
      <c r="D49" s="1">
        <f>'المركبات النشطة'!N22</f>
        <v>46398</v>
      </c>
      <c r="E49">
        <f ca="1">'المركبات النشطة'!O22</f>
        <v>182</v>
      </c>
      <c r="F49">
        <f t="shared" ca="1" si="1"/>
        <v>182.00049000000001</v>
      </c>
    </row>
    <row r="50" spans="1:6" x14ac:dyDescent="0.25">
      <c r="A50" t="str">
        <f>'المركبات النشطة'!C23</f>
        <v>كرم ابو الهدى صادق</v>
      </c>
      <c r="B50" t="str">
        <f>'المركبات النشطة'!F23</f>
        <v>ا ر و  4071</v>
      </c>
      <c r="C50" t="s">
        <v>127</v>
      </c>
      <c r="D50" s="1">
        <f>'المركبات النشطة'!N23</f>
        <v>46858</v>
      </c>
      <c r="E50">
        <f ca="1">'المركبات النشطة'!O23</f>
        <v>642</v>
      </c>
      <c r="F50">
        <f t="shared" ca="1" si="1"/>
        <v>642.00049999999999</v>
      </c>
    </row>
    <row r="51" spans="1:6" x14ac:dyDescent="0.25">
      <c r="A51" t="str">
        <f>'المركبات النشطة'!C24</f>
        <v>مران حسين مد تارو</v>
      </c>
      <c r="B51" t="str">
        <f>'المركبات النشطة'!F24</f>
        <v>ا س م 8031</v>
      </c>
      <c r="C51" t="s">
        <v>127</v>
      </c>
      <c r="D51" s="1">
        <f>'المركبات النشطة'!N24</f>
        <v>46398</v>
      </c>
      <c r="E51">
        <f ca="1">'المركبات النشطة'!O24</f>
        <v>182</v>
      </c>
      <c r="F51">
        <f t="shared" ca="1" si="1"/>
        <v>182.00050999999999</v>
      </c>
    </row>
    <row r="52" spans="1:6" x14ac:dyDescent="0.25">
      <c r="A52" t="str">
        <f>'المركبات النشطة'!C25</f>
        <v>محمد عبدالحميد محمد</v>
      </c>
      <c r="B52" t="str">
        <f>'المركبات النشطة'!F25</f>
        <v>ا س م  8035</v>
      </c>
      <c r="C52" t="s">
        <v>127</v>
      </c>
      <c r="D52" s="1">
        <f>'المركبات النشطة'!N25</f>
        <v>46398</v>
      </c>
      <c r="E52">
        <f ca="1">'المركبات النشطة'!O25</f>
        <v>182</v>
      </c>
      <c r="F52">
        <f t="shared" ca="1" si="1"/>
        <v>182.00051999999999</v>
      </c>
    </row>
    <row r="53" spans="1:6" x14ac:dyDescent="0.25">
      <c r="A53" t="str">
        <f>'المركبات النشطة'!C26</f>
        <v>احمد عبدالصبور رشوان</v>
      </c>
      <c r="B53" t="str">
        <f>'المركبات النشطة'!F26</f>
        <v>ا س م  8021</v>
      </c>
      <c r="C53" t="s">
        <v>127</v>
      </c>
      <c r="D53" s="1">
        <f>'المركبات النشطة'!N26</f>
        <v>46398</v>
      </c>
      <c r="E53">
        <f ca="1">'المركبات النشطة'!O26</f>
        <v>182</v>
      </c>
      <c r="F53">
        <f t="shared" ca="1" si="1"/>
        <v>182.00053</v>
      </c>
    </row>
    <row r="54" spans="1:6" x14ac:dyDescent="0.25">
      <c r="A54" t="str">
        <f>'المركبات النشطة'!C27</f>
        <v>انصار الم</v>
      </c>
      <c r="B54" t="str">
        <f>'المركبات النشطة'!F27</f>
        <v>ا ر و  4139</v>
      </c>
      <c r="C54" t="s">
        <v>127</v>
      </c>
      <c r="D54" s="1">
        <f>'المركبات النشطة'!N27</f>
        <v>46997</v>
      </c>
      <c r="E54">
        <f ca="1">'المركبات النشطة'!O27</f>
        <v>781</v>
      </c>
      <c r="F54">
        <f t="shared" ca="1" si="1"/>
        <v>781.00054</v>
      </c>
    </row>
    <row r="55" spans="1:6" x14ac:dyDescent="0.25">
      <c r="A55" t="str">
        <f>'المركبات النشطة'!C28</f>
        <v>شندان دبينات</v>
      </c>
      <c r="B55" t="str">
        <f>'المركبات النشطة'!F28</f>
        <v>ا ر و 4141</v>
      </c>
      <c r="C55" t="s">
        <v>127</v>
      </c>
      <c r="D55" s="1">
        <f>'المركبات النشطة'!N28</f>
        <v>46997</v>
      </c>
      <c r="E55">
        <f ca="1">'المركبات النشطة'!O28</f>
        <v>781</v>
      </c>
      <c r="F55">
        <f t="shared" ca="1" si="1"/>
        <v>781.00054999999998</v>
      </c>
    </row>
    <row r="56" spans="1:6" x14ac:dyDescent="0.25">
      <c r="A56" t="str">
        <f>'المركبات النشطة'!C29</f>
        <v>مد سيف الاسلام</v>
      </c>
      <c r="B56" t="str">
        <f>'المركبات النشطة'!F29</f>
        <v>ا ر ع 2240</v>
      </c>
      <c r="C56" t="s">
        <v>127</v>
      </c>
      <c r="D56" s="1">
        <f>'المركبات النشطة'!N29</f>
        <v>46272</v>
      </c>
      <c r="E56">
        <f ca="1">'المركبات النشطة'!O29</f>
        <v>56</v>
      </c>
      <c r="F56">
        <f t="shared" ca="1" si="1"/>
        <v>56.00056</v>
      </c>
    </row>
    <row r="57" spans="1:6" x14ac:dyDescent="0.25">
      <c r="A57" t="str">
        <f>'المركبات النشطة'!C30</f>
        <v>شوكت علي</v>
      </c>
      <c r="B57" t="str">
        <f>'المركبات النشطة'!F30</f>
        <v>أ س ر 8873</v>
      </c>
      <c r="C57" t="s">
        <v>127</v>
      </c>
      <c r="D57" s="1">
        <f>'المركبات النشطة'!N30</f>
        <v>46241</v>
      </c>
      <c r="E57">
        <f ca="1">'المركبات النشطة'!O30</f>
        <v>25</v>
      </c>
      <c r="F57">
        <f t="shared" ca="1" si="1"/>
        <v>25.00057</v>
      </c>
    </row>
    <row r="58" spans="1:6" x14ac:dyDescent="0.25">
      <c r="A58" t="str">
        <f>'المركبات النشطة'!C31</f>
        <v>علي محمد ابوزيد محمد</v>
      </c>
      <c r="B58" t="str">
        <f>'المركبات النشطة'!F31</f>
        <v>ا ر ل  5580</v>
      </c>
      <c r="C58" t="s">
        <v>127</v>
      </c>
      <c r="D58" s="1">
        <f>'المركبات النشطة'!N31</f>
        <v>46553</v>
      </c>
      <c r="E58">
        <f ca="1">'المركبات النشطة'!O31</f>
        <v>337</v>
      </c>
      <c r="F58">
        <f t="shared" ca="1" si="1"/>
        <v>337.00058000000001</v>
      </c>
    </row>
    <row r="59" spans="1:6" x14ac:dyDescent="0.25">
      <c r="A59" t="str">
        <f>'المركبات النشطة'!C32</f>
        <v>انال كومار</v>
      </c>
      <c r="B59" t="str">
        <f>'المركبات النشطة'!F32</f>
        <v>ا س ح 8715</v>
      </c>
      <c r="C59" t="s">
        <v>127</v>
      </c>
      <c r="D59" s="1">
        <f>'المركبات النشطة'!N32</f>
        <v>47210</v>
      </c>
      <c r="E59">
        <f ca="1">'المركبات النشطة'!O32</f>
        <v>994</v>
      </c>
      <c r="F59">
        <f t="shared" ca="1" si="1"/>
        <v>994.00058999999999</v>
      </c>
    </row>
    <row r="60" spans="1:6" x14ac:dyDescent="0.25">
      <c r="A60" t="str">
        <f>'المركبات النشطة'!C33</f>
        <v>احمد دنقل</v>
      </c>
      <c r="B60" t="str">
        <f>'المركبات النشطة'!F33</f>
        <v>ا ص ا 7810</v>
      </c>
      <c r="C60" t="s">
        <v>127</v>
      </c>
      <c r="D60" s="1">
        <f>'المركبات النشطة'!N33</f>
        <v>46499</v>
      </c>
      <c r="E60">
        <f ca="1">'المركبات النشطة'!O33</f>
        <v>283</v>
      </c>
      <c r="F60">
        <f t="shared" ca="1" si="1"/>
        <v>283.00060000000002</v>
      </c>
    </row>
    <row r="61" spans="1:6" x14ac:dyDescent="0.25">
      <c r="A61" t="str">
        <f>'المركبات النشطة'!C34</f>
        <v>محمد عبدالرحمن السيد المندوه</v>
      </c>
      <c r="B61" t="str">
        <f>'المركبات النشطة'!F34</f>
        <v>أ ص ق 6855</v>
      </c>
      <c r="C61" t="s">
        <v>127</v>
      </c>
      <c r="D61" s="1">
        <f>'المركبات النشطة'!N34</f>
        <v>46592</v>
      </c>
      <c r="E61">
        <f ca="1">'المركبات النشطة'!O34</f>
        <v>376</v>
      </c>
      <c r="F61">
        <f t="shared" ca="1" si="1"/>
        <v>376.00060999999999</v>
      </c>
    </row>
    <row r="62" spans="1:6" x14ac:dyDescent="0.25">
      <c r="A62" t="str">
        <f>'المركبات النشطة'!C5</f>
        <v>شمون مياه ادريس مياه</v>
      </c>
      <c r="B62" t="str">
        <f>'المركبات النشطة'!F5</f>
        <v>ا س م  8013</v>
      </c>
      <c r="C62" t="s">
        <v>128</v>
      </c>
      <c r="D62" s="1">
        <f>'المركبات النشطة'!P5</f>
        <v>46515</v>
      </c>
      <c r="E62">
        <f ca="1">'المركبات النشطة'!Q5</f>
        <v>299</v>
      </c>
      <c r="F62">
        <f t="shared" ca="1" si="1"/>
        <v>299.00062000000003</v>
      </c>
    </row>
    <row r="63" spans="1:6" x14ac:dyDescent="0.25">
      <c r="A63" t="str">
        <f>'المركبات النشطة'!C6</f>
        <v>مارييل فينود</v>
      </c>
      <c r="B63" t="str">
        <f>'المركبات النشطة'!F6</f>
        <v>أ س م 8025</v>
      </c>
      <c r="C63" t="s">
        <v>128</v>
      </c>
      <c r="D63" s="1">
        <f>'المركبات النشطة'!P6</f>
        <v>46534</v>
      </c>
      <c r="E63">
        <f ca="1">'المركبات النشطة'!Q6</f>
        <v>318</v>
      </c>
      <c r="F63">
        <f t="shared" ca="1" si="1"/>
        <v>318.00063</v>
      </c>
    </row>
    <row r="64" spans="1:6" x14ac:dyDescent="0.25">
      <c r="A64" t="str">
        <f>'المركبات النشطة'!C7</f>
        <v>محمد عبدالصبور عبدالعزيز</v>
      </c>
      <c r="B64" t="str">
        <f>'المركبات النشطة'!F7</f>
        <v>ا س م 8024</v>
      </c>
      <c r="C64" t="s">
        <v>128</v>
      </c>
      <c r="D64" s="1">
        <f>'المركبات النشطة'!P7</f>
        <v>46515</v>
      </c>
      <c r="E64">
        <f ca="1">'المركبات النشطة'!Q7</f>
        <v>299</v>
      </c>
      <c r="F64">
        <f t="shared" ca="1" si="1"/>
        <v>299.00063999999998</v>
      </c>
    </row>
    <row r="65" spans="1:6" x14ac:dyDescent="0.25">
      <c r="A65" t="str">
        <f>'المركبات النشطة'!C8</f>
        <v>كابيل مياه</v>
      </c>
      <c r="B65" t="str">
        <f>'المركبات النشطة'!F8</f>
        <v>ا س ح  8714</v>
      </c>
      <c r="C65" t="s">
        <v>128</v>
      </c>
      <c r="D65" s="1">
        <f>'المركبات النشطة'!P8</f>
        <v>46198</v>
      </c>
      <c r="E65">
        <f ca="1">'المركبات النشطة'!Q8</f>
        <v>-18</v>
      </c>
      <c r="F65">
        <f t="shared" ca="1" si="1"/>
        <v>-17.99935</v>
      </c>
    </row>
    <row r="66" spans="1:6" x14ac:dyDescent="0.25">
      <c r="A66" t="str">
        <f>'المركبات النشطة'!C9</f>
        <v>تنفير حسين</v>
      </c>
      <c r="B66" t="str">
        <f>'المركبات النشطة'!F9</f>
        <v>ا ر ع  2234</v>
      </c>
      <c r="C66" t="s">
        <v>128</v>
      </c>
      <c r="D66" s="1">
        <f>'المركبات النشطة'!P9</f>
        <v>46515</v>
      </c>
      <c r="E66">
        <f ca="1">'المركبات النشطة'!Q9</f>
        <v>299</v>
      </c>
      <c r="F66">
        <f t="shared" ref="F66:F97" ca="1" si="2">IF(ISNUMBER(E66),E66+ROW()/100000,"")</f>
        <v>299.00065999999998</v>
      </c>
    </row>
    <row r="67" spans="1:6" x14ac:dyDescent="0.25">
      <c r="A67" t="str">
        <f>'المركبات النشطة'!C10</f>
        <v>محمد مصلح حمادي محسن</v>
      </c>
      <c r="B67" t="str">
        <f>'المركبات النشطة'!F10</f>
        <v>ا ر و 4140</v>
      </c>
      <c r="C67" t="s">
        <v>128</v>
      </c>
      <c r="D67" s="1">
        <f>'المركبات النشطة'!P10</f>
        <v>46505</v>
      </c>
      <c r="E67">
        <f ca="1">'المركبات النشطة'!Q10</f>
        <v>289</v>
      </c>
      <c r="F67">
        <f t="shared" ca="1" si="2"/>
        <v>289.00067000000001</v>
      </c>
    </row>
    <row r="68" spans="1:6" x14ac:dyDescent="0.25">
      <c r="A68" t="str">
        <f>'المركبات النشطة'!C11</f>
        <v>علاء عبد النبي رفاعي احمد</v>
      </c>
      <c r="B68" t="str">
        <f>'المركبات النشطة'!F11</f>
        <v>ا س  8015</v>
      </c>
      <c r="C68" t="s">
        <v>128</v>
      </c>
      <c r="D68" s="1">
        <f>'المركبات النشطة'!P11</f>
        <v>46515</v>
      </c>
      <c r="E68">
        <f ca="1">'المركبات النشطة'!Q11</f>
        <v>299</v>
      </c>
      <c r="F68">
        <f t="shared" ca="1" si="2"/>
        <v>299.00067999999999</v>
      </c>
    </row>
    <row r="69" spans="1:6" x14ac:dyDescent="0.25">
      <c r="A69" t="str">
        <f>'المركبات النشطة'!C12</f>
        <v>رفيق اسان بيلات</v>
      </c>
      <c r="B69" t="str">
        <f>'المركبات النشطة'!F12</f>
        <v>ا س ق 7776</v>
      </c>
      <c r="C69" t="s">
        <v>128</v>
      </c>
      <c r="D69" s="1">
        <f>'المركبات النشطة'!P12</f>
        <v>46515</v>
      </c>
      <c r="E69">
        <f ca="1">'المركبات النشطة'!Q12</f>
        <v>299</v>
      </c>
      <c r="F69">
        <f t="shared" ca="1" si="2"/>
        <v>299.00069000000002</v>
      </c>
    </row>
    <row r="70" spans="1:6" x14ac:dyDescent="0.25">
      <c r="A70" t="str">
        <f>'المركبات النشطة'!C13</f>
        <v>ابراهيم محمد ابوزيد محمد</v>
      </c>
      <c r="B70" t="str">
        <f>'المركبات النشطة'!F13</f>
        <v>أ ر ع  2233</v>
      </c>
      <c r="C70" t="s">
        <v>128</v>
      </c>
      <c r="D70" s="1">
        <f>'المركبات النشطة'!P13</f>
        <v>46515</v>
      </c>
      <c r="E70">
        <f ca="1">'المركبات النشطة'!Q13</f>
        <v>299</v>
      </c>
      <c r="F70">
        <f t="shared" ca="1" si="2"/>
        <v>299.00069999999999</v>
      </c>
    </row>
    <row r="71" spans="1:6" x14ac:dyDescent="0.25">
      <c r="A71" t="str">
        <f>'المركبات النشطة'!C14</f>
        <v>انفير كاريماري عمير</v>
      </c>
      <c r="B71" t="str">
        <f>'المركبات النشطة'!F14</f>
        <v>ا ر و 4085</v>
      </c>
      <c r="C71" t="s">
        <v>128</v>
      </c>
      <c r="D71" s="1">
        <f>'المركبات النشطة'!P14</f>
        <v>46283</v>
      </c>
      <c r="E71">
        <f ca="1">'المركبات النشطة'!Q14</f>
        <v>67</v>
      </c>
      <c r="F71">
        <f t="shared" ca="1" si="2"/>
        <v>67.000709999999998</v>
      </c>
    </row>
    <row r="72" spans="1:6" x14ac:dyDescent="0.25">
      <c r="A72" t="str">
        <f>'المركبات النشطة'!C15</f>
        <v>ارجوان</v>
      </c>
      <c r="B72" t="str">
        <f>'المركبات النشطة'!F15</f>
        <v>ا س م 8033</v>
      </c>
      <c r="C72" t="s">
        <v>128</v>
      </c>
      <c r="D72" s="1">
        <f>'المركبات النشطة'!P15</f>
        <v>46515</v>
      </c>
      <c r="E72">
        <f ca="1">'المركبات النشطة'!Q15</f>
        <v>299</v>
      </c>
      <c r="F72">
        <f t="shared" ca="1" si="2"/>
        <v>299.00072</v>
      </c>
    </row>
    <row r="73" spans="1:6" x14ac:dyDescent="0.25">
      <c r="A73" t="str">
        <f>'المركبات النشطة'!C16</f>
        <v>اجيت راجا</v>
      </c>
      <c r="B73" t="str">
        <f>'المركبات النشطة'!F16</f>
        <v>ا ر و 4084</v>
      </c>
      <c r="C73" t="s">
        <v>128</v>
      </c>
      <c r="D73" s="1">
        <f>'المركبات النشطة'!P16</f>
        <v>46388</v>
      </c>
      <c r="E73">
        <f ca="1">'المركبات النشطة'!Q16</f>
        <v>172</v>
      </c>
      <c r="F73">
        <f t="shared" ca="1" si="2"/>
        <v>172.00073</v>
      </c>
    </row>
    <row r="74" spans="1:6" x14ac:dyDescent="0.25">
      <c r="A74" t="str">
        <f>'المركبات النشطة'!C17</f>
        <v>سليم اختر محمد</v>
      </c>
      <c r="B74" t="str">
        <f>'المركبات النشطة'!F17</f>
        <v>ا س ح 8670</v>
      </c>
      <c r="C74" t="s">
        <v>128</v>
      </c>
      <c r="D74" s="1">
        <f>'المركبات النشطة'!P17</f>
        <v>46296</v>
      </c>
      <c r="E74">
        <f ca="1">'المركبات النشطة'!Q17</f>
        <v>80</v>
      </c>
      <c r="F74">
        <f t="shared" ca="1" si="2"/>
        <v>80.000739999999993</v>
      </c>
    </row>
    <row r="75" spans="1:6" x14ac:dyDescent="0.25">
      <c r="A75" t="str">
        <f>'المركبات النشطة'!C18</f>
        <v>محمد عبدالنبي رفاعي احمد</v>
      </c>
      <c r="B75" t="str">
        <f>'المركبات النشطة'!F18</f>
        <v>ا ص ق 6853</v>
      </c>
      <c r="C75" t="s">
        <v>128</v>
      </c>
      <c r="D75" s="1">
        <f>'المركبات النشطة'!P18</f>
        <v>46330</v>
      </c>
      <c r="E75">
        <f ca="1">'المركبات النشطة'!Q18</f>
        <v>114</v>
      </c>
      <c r="F75">
        <f t="shared" ca="1" si="2"/>
        <v>114.00075</v>
      </c>
    </row>
    <row r="76" spans="1:6" x14ac:dyDescent="0.25">
      <c r="A76" t="str">
        <f>'المركبات النشطة'!C19</f>
        <v>اسف باث شوهل</v>
      </c>
      <c r="B76" t="str">
        <f>'المركبات النشطة'!F19</f>
        <v>ا س ح  8717</v>
      </c>
      <c r="C76" t="s">
        <v>128</v>
      </c>
      <c r="D76" s="1">
        <f>'المركبات النشطة'!P19</f>
        <v>46417</v>
      </c>
      <c r="E76">
        <f ca="1">'المركبات النشطة'!Q19</f>
        <v>201</v>
      </c>
      <c r="F76">
        <f t="shared" ca="1" si="2"/>
        <v>201.00076000000001</v>
      </c>
    </row>
    <row r="77" spans="1:6" x14ac:dyDescent="0.25">
      <c r="A77" t="str">
        <f>'المركبات النشطة'!C20</f>
        <v>فالق سجاد سجاد</v>
      </c>
      <c r="B77" t="str">
        <f>'المركبات النشطة'!F20</f>
        <v>ا س م 8029</v>
      </c>
      <c r="C77" t="s">
        <v>128</v>
      </c>
      <c r="D77" s="1">
        <f>'المركبات النشطة'!P20</f>
        <v>46386</v>
      </c>
      <c r="E77">
        <f ca="1">'المركبات النشطة'!Q20</f>
        <v>170</v>
      </c>
      <c r="F77">
        <f t="shared" ca="1" si="2"/>
        <v>170.00076999999999</v>
      </c>
    </row>
    <row r="78" spans="1:6" x14ac:dyDescent="0.25">
      <c r="A78" t="str">
        <f>'المركبات النشطة'!C21</f>
        <v>موزيد خان</v>
      </c>
      <c r="B78" t="str">
        <f>'المركبات النشطة'!F21</f>
        <v>ا س ل 8850</v>
      </c>
      <c r="C78" t="s">
        <v>128</v>
      </c>
      <c r="D78" s="1">
        <f>'المركبات النشطة'!P21</f>
        <v>46515</v>
      </c>
      <c r="E78">
        <f ca="1">'المركبات النشطة'!Q21</f>
        <v>299</v>
      </c>
      <c r="F78">
        <f t="shared" ca="1" si="2"/>
        <v>299.00078000000002</v>
      </c>
    </row>
    <row r="79" spans="1:6" x14ac:dyDescent="0.25">
      <c r="A79" t="str">
        <f>'المركبات النشطة'!C22</f>
        <v>بسام علي احمد الجلال</v>
      </c>
      <c r="B79" t="str">
        <f>'المركبات النشطة'!F22</f>
        <v>ا س م 8023</v>
      </c>
      <c r="C79" t="s">
        <v>128</v>
      </c>
      <c r="D79" s="1">
        <f>'المركبات النشطة'!P22</f>
        <v>46500</v>
      </c>
      <c r="E79">
        <f ca="1">'المركبات النشطة'!Q22</f>
        <v>284</v>
      </c>
      <c r="F79">
        <f t="shared" ca="1" si="2"/>
        <v>284.00078999999999</v>
      </c>
    </row>
    <row r="80" spans="1:6" x14ac:dyDescent="0.25">
      <c r="A80" t="str">
        <f>'المركبات النشطة'!C23</f>
        <v>كرم ابو الهدى صادق</v>
      </c>
      <c r="B80" t="str">
        <f>'المركبات النشطة'!F23</f>
        <v>ا ر و  4071</v>
      </c>
      <c r="C80" t="s">
        <v>128</v>
      </c>
      <c r="D80" s="1">
        <f>'المركبات النشطة'!P23</f>
        <v>46504</v>
      </c>
      <c r="E80">
        <f ca="1">'المركبات النشطة'!Q23</f>
        <v>288</v>
      </c>
      <c r="F80">
        <f t="shared" ca="1" si="2"/>
        <v>288.00080000000003</v>
      </c>
    </row>
    <row r="81" spans="1:6" x14ac:dyDescent="0.25">
      <c r="A81" t="str">
        <f>'المركبات النشطة'!C24</f>
        <v>مران حسين مد تارو</v>
      </c>
      <c r="B81" t="str">
        <f>'المركبات النشطة'!F24</f>
        <v>ا س م 8031</v>
      </c>
      <c r="C81" t="s">
        <v>128</v>
      </c>
      <c r="D81" s="1">
        <f>'المركبات النشطة'!P24</f>
        <v>46515</v>
      </c>
      <c r="E81">
        <f ca="1">'المركبات النشطة'!Q24</f>
        <v>299</v>
      </c>
      <c r="F81">
        <f t="shared" ca="1" si="2"/>
        <v>299.00081</v>
      </c>
    </row>
    <row r="82" spans="1:6" x14ac:dyDescent="0.25">
      <c r="A82" t="str">
        <f>'المركبات النشطة'!C25</f>
        <v>محمد عبدالحميد محمد</v>
      </c>
      <c r="B82" t="str">
        <f>'المركبات النشطة'!F25</f>
        <v>ا س م  8035</v>
      </c>
      <c r="C82" t="s">
        <v>128</v>
      </c>
      <c r="D82" s="1">
        <f>'المركبات النشطة'!P25</f>
        <v>46515</v>
      </c>
      <c r="E82">
        <f ca="1">'المركبات النشطة'!Q25</f>
        <v>299</v>
      </c>
      <c r="F82">
        <f t="shared" ca="1" si="2"/>
        <v>299.00081999999998</v>
      </c>
    </row>
    <row r="83" spans="1:6" x14ac:dyDescent="0.25">
      <c r="A83" t="str">
        <f>'المركبات النشطة'!C26</f>
        <v>احمد عبدالصبور رشوان</v>
      </c>
      <c r="B83" t="str">
        <f>'المركبات النشطة'!F26</f>
        <v>ا س م  8021</v>
      </c>
      <c r="C83" t="s">
        <v>128</v>
      </c>
      <c r="D83" s="1">
        <f>'المركبات النشطة'!P26</f>
        <v>46515</v>
      </c>
      <c r="E83">
        <f ca="1">'المركبات النشطة'!Q26</f>
        <v>299</v>
      </c>
      <c r="F83">
        <f t="shared" ca="1" si="2"/>
        <v>299.00083000000001</v>
      </c>
    </row>
    <row r="84" spans="1:6" x14ac:dyDescent="0.25">
      <c r="A84" t="str">
        <f>'المركبات النشطة'!C27</f>
        <v>انصار الم</v>
      </c>
      <c r="B84" t="str">
        <f>'المركبات النشطة'!F27</f>
        <v>ا ر و  4139</v>
      </c>
      <c r="C84" t="s">
        <v>128</v>
      </c>
      <c r="D84" s="1">
        <f>'المركبات النشطة'!P27</f>
        <v>46515</v>
      </c>
      <c r="E84">
        <f ca="1">'المركبات النشطة'!Q27</f>
        <v>299</v>
      </c>
      <c r="F84">
        <f t="shared" ca="1" si="2"/>
        <v>299.00083999999998</v>
      </c>
    </row>
    <row r="85" spans="1:6" x14ac:dyDescent="0.25">
      <c r="A85" t="str">
        <f>'المركبات النشطة'!C28</f>
        <v>شندان دبينات</v>
      </c>
      <c r="B85" t="str">
        <f>'المركبات النشطة'!F28</f>
        <v>ا ر و 4141</v>
      </c>
      <c r="C85" t="s">
        <v>128</v>
      </c>
      <c r="D85" s="1">
        <f>'المركبات النشطة'!P28</f>
        <v>46515</v>
      </c>
      <c r="E85">
        <f ca="1">'المركبات النشطة'!Q28</f>
        <v>299</v>
      </c>
      <c r="F85">
        <f t="shared" ca="1" si="2"/>
        <v>299.00085000000001</v>
      </c>
    </row>
    <row r="86" spans="1:6" x14ac:dyDescent="0.25">
      <c r="A86" t="str">
        <f>'المركبات النشطة'!C29</f>
        <v>مد سيف الاسلام</v>
      </c>
      <c r="B86" t="str">
        <f>'المركبات النشطة'!F29</f>
        <v>ا ر ع 2240</v>
      </c>
      <c r="C86" t="s">
        <v>128</v>
      </c>
      <c r="D86" s="1">
        <f>'المركبات النشطة'!P29</f>
        <v>46515</v>
      </c>
      <c r="E86">
        <f ca="1">'المركبات النشطة'!Q29</f>
        <v>299</v>
      </c>
      <c r="F86">
        <f t="shared" ca="1" si="2"/>
        <v>299.00085999999999</v>
      </c>
    </row>
    <row r="87" spans="1:6" x14ac:dyDescent="0.25">
      <c r="A87" t="str">
        <f>'المركبات النشطة'!C30</f>
        <v>شوكت علي</v>
      </c>
      <c r="B87" t="str">
        <f>'المركبات النشطة'!F30</f>
        <v>أ س ر 8873</v>
      </c>
      <c r="C87" t="s">
        <v>128</v>
      </c>
      <c r="D87" s="1">
        <f>'المركبات النشطة'!P30</f>
        <v>46515</v>
      </c>
      <c r="E87">
        <f ca="1">'المركبات النشطة'!Q30</f>
        <v>299</v>
      </c>
      <c r="F87">
        <f t="shared" ca="1" si="2"/>
        <v>299.00087000000002</v>
      </c>
    </row>
    <row r="88" spans="1:6" x14ac:dyDescent="0.25">
      <c r="A88" t="str">
        <f>'المركبات النشطة'!C31</f>
        <v>علي محمد ابوزيد محمد</v>
      </c>
      <c r="B88" t="str">
        <f>'المركبات النشطة'!F31</f>
        <v>ا ر ل  5580</v>
      </c>
      <c r="C88" t="s">
        <v>128</v>
      </c>
      <c r="D88" s="1">
        <f>'المركبات النشطة'!P31</f>
        <v>46515</v>
      </c>
      <c r="E88">
        <f ca="1">'المركبات النشطة'!Q31</f>
        <v>299</v>
      </c>
      <c r="F88">
        <f t="shared" ca="1" si="2"/>
        <v>299.00088</v>
      </c>
    </row>
    <row r="89" spans="1:6" x14ac:dyDescent="0.25">
      <c r="A89" t="str">
        <f>'المركبات النشطة'!C32</f>
        <v>انال كومار</v>
      </c>
      <c r="B89" t="str">
        <f>'المركبات النشطة'!F32</f>
        <v>ا س ح 8715</v>
      </c>
      <c r="C89" t="s">
        <v>128</v>
      </c>
      <c r="D89" s="1">
        <f>'المركبات النشطة'!P32</f>
        <v>46516</v>
      </c>
      <c r="E89">
        <f ca="1">'المركبات النشطة'!Q32</f>
        <v>300</v>
      </c>
      <c r="F89">
        <f t="shared" ca="1" si="2"/>
        <v>300.00089000000003</v>
      </c>
    </row>
    <row r="90" spans="1:6" x14ac:dyDescent="0.25">
      <c r="A90" t="str">
        <f>'المركبات النشطة'!C33</f>
        <v>احمد دنقل</v>
      </c>
      <c r="B90" t="str">
        <f>'المركبات النشطة'!F33</f>
        <v>ا ص ا 7810</v>
      </c>
      <c r="C90" t="s">
        <v>128</v>
      </c>
      <c r="D90" s="1">
        <f>'المركبات النشطة'!P33</f>
        <v>46313</v>
      </c>
      <c r="E90">
        <f ca="1">'المركبات النشطة'!Q33</f>
        <v>97</v>
      </c>
      <c r="F90">
        <f t="shared" ca="1" si="2"/>
        <v>97.000900000000001</v>
      </c>
    </row>
    <row r="91" spans="1:6" x14ac:dyDescent="0.25">
      <c r="A91" t="str">
        <f>'المركبات النشطة'!C34</f>
        <v>محمد عبدالرحمن السيد المندوه</v>
      </c>
      <c r="B91" t="str">
        <f>'المركبات النشطة'!F34</f>
        <v>أ ص ق 6855</v>
      </c>
      <c r="C91" t="s">
        <v>128</v>
      </c>
      <c r="D91" s="1">
        <f>'المركبات النشطة'!P34</f>
        <v>46543</v>
      </c>
      <c r="E91">
        <f ca="1">'المركبات النشطة'!Q34</f>
        <v>327</v>
      </c>
      <c r="F91">
        <f t="shared" ca="1" si="2"/>
        <v>327.00090999999998</v>
      </c>
    </row>
    <row r="92" spans="1:6" x14ac:dyDescent="0.25">
      <c r="A92" t="str">
        <f>'المركبات النشطة'!C5</f>
        <v>شمون مياه ادريس مياه</v>
      </c>
      <c r="B92" t="str">
        <f>'المركبات النشطة'!F5</f>
        <v>ا س م  8013</v>
      </c>
      <c r="C92" t="s">
        <v>129</v>
      </c>
      <c r="D92" s="1">
        <f>'المركبات النشطة'!R5</f>
        <v>46479</v>
      </c>
      <c r="E92">
        <f ca="1">'المركبات النشطة'!S5</f>
        <v>263</v>
      </c>
      <c r="F92">
        <f t="shared" ca="1" si="2"/>
        <v>263.00092000000001</v>
      </c>
    </row>
    <row r="93" spans="1:6" x14ac:dyDescent="0.25">
      <c r="A93" t="str">
        <f>'المركبات النشطة'!C6</f>
        <v>مارييل فينود</v>
      </c>
      <c r="B93" t="str">
        <f>'المركبات النشطة'!F6</f>
        <v>أ س م 8025</v>
      </c>
      <c r="C93" t="s">
        <v>129</v>
      </c>
      <c r="D93" s="1">
        <f>'المركبات النشطة'!R6</f>
        <v>46484</v>
      </c>
      <c r="E93">
        <f ca="1">'المركبات النشطة'!S6</f>
        <v>268</v>
      </c>
      <c r="F93">
        <f t="shared" ca="1" si="2"/>
        <v>268.00092999999998</v>
      </c>
    </row>
    <row r="94" spans="1:6" x14ac:dyDescent="0.25">
      <c r="A94" t="str">
        <f>'المركبات النشطة'!C7</f>
        <v>محمد عبدالصبور عبدالعزيز</v>
      </c>
      <c r="B94" t="str">
        <f>'المركبات النشطة'!F7</f>
        <v>ا س م 8024</v>
      </c>
      <c r="C94" t="s">
        <v>129</v>
      </c>
      <c r="D94" s="1">
        <f>'المركبات النشطة'!R7</f>
        <v>46505</v>
      </c>
      <c r="E94">
        <f ca="1">'المركبات النشطة'!S7</f>
        <v>289</v>
      </c>
      <c r="F94">
        <f t="shared" ca="1" si="2"/>
        <v>289.00094000000001</v>
      </c>
    </row>
    <row r="95" spans="1:6" x14ac:dyDescent="0.25">
      <c r="A95" t="str">
        <f>'المركبات النشطة'!C8</f>
        <v>كابيل مياه</v>
      </c>
      <c r="B95" t="str">
        <f>'المركبات النشطة'!F8</f>
        <v>ا س ح  8714</v>
      </c>
      <c r="C95" t="s">
        <v>129</v>
      </c>
      <c r="D95" s="1">
        <f>'المركبات النشطة'!R8</f>
        <v>46515</v>
      </c>
      <c r="E95">
        <f ca="1">'المركبات النشطة'!S8</f>
        <v>299</v>
      </c>
      <c r="F95">
        <f t="shared" ca="1" si="2"/>
        <v>299.00094999999999</v>
      </c>
    </row>
    <row r="96" spans="1:6" x14ac:dyDescent="0.25">
      <c r="A96" t="str">
        <f>'المركبات النشطة'!C9</f>
        <v>تنفير حسين</v>
      </c>
      <c r="B96" t="str">
        <f>'المركبات النشطة'!F9</f>
        <v>ا ر ع  2234</v>
      </c>
      <c r="C96" t="s">
        <v>129</v>
      </c>
      <c r="D96" s="1">
        <f>'المركبات النشطة'!R9</f>
        <v>46515</v>
      </c>
      <c r="E96">
        <f ca="1">'المركبات النشطة'!S9</f>
        <v>299</v>
      </c>
      <c r="F96">
        <f t="shared" ca="1" si="2"/>
        <v>299.00096000000002</v>
      </c>
    </row>
    <row r="97" spans="1:6" x14ac:dyDescent="0.25">
      <c r="A97" t="str">
        <f>'المركبات النشطة'!C10</f>
        <v>محمد مصلح حمادي محسن</v>
      </c>
      <c r="B97" t="str">
        <f>'المركبات النشطة'!F10</f>
        <v>ا ر و 4140</v>
      </c>
      <c r="C97" t="s">
        <v>129</v>
      </c>
      <c r="D97" s="1">
        <f>'المركبات النشطة'!R10</f>
        <v>46515</v>
      </c>
      <c r="E97">
        <f ca="1">'المركبات النشطة'!S10</f>
        <v>299</v>
      </c>
      <c r="F97">
        <f t="shared" ca="1" si="2"/>
        <v>299.00097</v>
      </c>
    </row>
    <row r="98" spans="1:6" x14ac:dyDescent="0.25">
      <c r="A98" t="str">
        <f>'المركبات النشطة'!C11</f>
        <v>علاء عبد النبي رفاعي احمد</v>
      </c>
      <c r="B98" t="str">
        <f>'المركبات النشطة'!F11</f>
        <v>ا س  8015</v>
      </c>
      <c r="C98" t="s">
        <v>129</v>
      </c>
      <c r="D98" s="1">
        <f>'المركبات النشطة'!R11</f>
        <v>46485</v>
      </c>
      <c r="E98">
        <f ca="1">'المركبات النشطة'!S11</f>
        <v>269</v>
      </c>
      <c r="F98">
        <f t="shared" ref="F98:F121" ca="1" si="3">IF(ISNUMBER(E98),E98+ROW()/100000,"")</f>
        <v>269.00098000000003</v>
      </c>
    </row>
    <row r="99" spans="1:6" x14ac:dyDescent="0.25">
      <c r="A99" t="str">
        <f>'المركبات النشطة'!C12</f>
        <v>رفيق اسان بيلات</v>
      </c>
      <c r="B99" t="str">
        <f>'المركبات النشطة'!F12</f>
        <v>ا س ق 7776</v>
      </c>
      <c r="C99" t="s">
        <v>129</v>
      </c>
      <c r="D99" s="1">
        <f>'المركبات النشطة'!R12</f>
        <v>46515</v>
      </c>
      <c r="E99">
        <f ca="1">'المركبات النشطة'!S12</f>
        <v>299</v>
      </c>
      <c r="F99">
        <f t="shared" ca="1" si="3"/>
        <v>299.00099</v>
      </c>
    </row>
    <row r="100" spans="1:6" x14ac:dyDescent="0.25">
      <c r="A100" t="str">
        <f>'المركبات النشطة'!C13</f>
        <v>ابراهيم محمد ابوزيد محمد</v>
      </c>
      <c r="B100" t="str">
        <f>'المركبات النشطة'!F13</f>
        <v>أ ر ع  2233</v>
      </c>
      <c r="C100" t="s">
        <v>129</v>
      </c>
      <c r="D100" s="1">
        <f>'المركبات النشطة'!R13</f>
        <v>46515</v>
      </c>
      <c r="E100">
        <f ca="1">'المركبات النشطة'!S13</f>
        <v>299</v>
      </c>
      <c r="F100">
        <f t="shared" ca="1" si="3"/>
        <v>299.00099999999998</v>
      </c>
    </row>
    <row r="101" spans="1:6" x14ac:dyDescent="0.25">
      <c r="A101" t="str">
        <f>'المركبات النشطة'!C14</f>
        <v>انفير كاريماري عمير</v>
      </c>
      <c r="B101" t="str">
        <f>'المركبات النشطة'!F14</f>
        <v>ا ر و 4085</v>
      </c>
      <c r="C101" t="s">
        <v>129</v>
      </c>
      <c r="D101" s="1">
        <f>'المركبات النشطة'!R14</f>
        <v>46379</v>
      </c>
      <c r="E101">
        <f ca="1">'المركبات النشطة'!S14</f>
        <v>163</v>
      </c>
      <c r="F101">
        <f t="shared" ca="1" si="3"/>
        <v>163.00101000000001</v>
      </c>
    </row>
    <row r="102" spans="1:6" x14ac:dyDescent="0.25">
      <c r="A102" t="str">
        <f>'المركبات النشطة'!C15</f>
        <v>ارجوان</v>
      </c>
      <c r="B102" t="str">
        <f>'المركبات النشطة'!F15</f>
        <v>ا س م 8033</v>
      </c>
      <c r="C102" t="s">
        <v>129</v>
      </c>
      <c r="D102" s="1">
        <f>'المركبات النشطة'!R15</f>
        <v>46485</v>
      </c>
      <c r="E102">
        <f ca="1">'المركبات النشطة'!S15</f>
        <v>269</v>
      </c>
      <c r="F102">
        <f t="shared" ca="1" si="3"/>
        <v>269.00101999999998</v>
      </c>
    </row>
    <row r="103" spans="1:6" x14ac:dyDescent="0.25">
      <c r="A103" t="str">
        <f>'المركبات النشطة'!C16</f>
        <v>اجيت راجا</v>
      </c>
      <c r="B103" t="str">
        <f>'المركبات النشطة'!F16</f>
        <v>ا ر و 4084</v>
      </c>
      <c r="C103" t="s">
        <v>129</v>
      </c>
      <c r="D103" s="1">
        <f>'المركبات النشطة'!R16</f>
        <v>46379</v>
      </c>
      <c r="E103">
        <f ca="1">'المركبات النشطة'!S16</f>
        <v>163</v>
      </c>
      <c r="F103">
        <f t="shared" ca="1" si="3"/>
        <v>163.00102999999999</v>
      </c>
    </row>
    <row r="104" spans="1:6" x14ac:dyDescent="0.25">
      <c r="A104" t="str">
        <f>'المركبات النشطة'!C17</f>
        <v>سليم اختر محمد</v>
      </c>
      <c r="B104" t="str">
        <f>'المركبات النشطة'!F17</f>
        <v>ا س ح 8670</v>
      </c>
      <c r="C104" t="s">
        <v>129</v>
      </c>
      <c r="D104" s="1">
        <f>'المركبات النشطة'!R17</f>
        <v>46515</v>
      </c>
      <c r="E104">
        <f ca="1">'المركبات النشطة'!S17</f>
        <v>299</v>
      </c>
      <c r="F104">
        <f t="shared" ca="1" si="3"/>
        <v>299.00103999999999</v>
      </c>
    </row>
    <row r="105" spans="1:6" x14ac:dyDescent="0.25">
      <c r="A105" t="str">
        <f>'المركبات النشطة'!C18</f>
        <v>محمد عبدالنبي رفاعي احمد</v>
      </c>
      <c r="B105" t="str">
        <f>'المركبات النشطة'!F18</f>
        <v>ا ص ق 6853</v>
      </c>
      <c r="C105" t="s">
        <v>129</v>
      </c>
      <c r="D105" s="1">
        <f>'المركبات النشطة'!R18</f>
        <v>46505</v>
      </c>
      <c r="E105">
        <f ca="1">'المركبات النشطة'!S18</f>
        <v>289</v>
      </c>
      <c r="F105">
        <f t="shared" ca="1" si="3"/>
        <v>289.00105000000002</v>
      </c>
    </row>
    <row r="106" spans="1:6" x14ac:dyDescent="0.25">
      <c r="A106" t="str">
        <f>'المركبات النشطة'!C19</f>
        <v>اسف باث شوهل</v>
      </c>
      <c r="B106" t="str">
        <f>'المركبات النشطة'!F19</f>
        <v>ا س ح  8717</v>
      </c>
      <c r="C106" t="s">
        <v>129</v>
      </c>
      <c r="D106" s="1">
        <f>'المركبات النشطة'!R19</f>
        <v>46515</v>
      </c>
      <c r="E106">
        <f ca="1">'المركبات النشطة'!S19</f>
        <v>299</v>
      </c>
      <c r="F106">
        <f t="shared" ca="1" si="3"/>
        <v>299.00106</v>
      </c>
    </row>
    <row r="107" spans="1:6" x14ac:dyDescent="0.25">
      <c r="A107" t="str">
        <f>'المركبات النشطة'!C20</f>
        <v>فالق سجاد سجاد</v>
      </c>
      <c r="B107" t="str">
        <f>'المركبات النشطة'!F20</f>
        <v>ا س م 8029</v>
      </c>
      <c r="C107" t="s">
        <v>129</v>
      </c>
      <c r="D107" s="1">
        <f>'المركبات النشطة'!R20</f>
        <v>46479</v>
      </c>
      <c r="E107">
        <f ca="1">'المركبات النشطة'!S20</f>
        <v>263</v>
      </c>
      <c r="F107">
        <f t="shared" ca="1" si="3"/>
        <v>263.00107000000003</v>
      </c>
    </row>
    <row r="108" spans="1:6" x14ac:dyDescent="0.25">
      <c r="A108" t="str">
        <f>'المركبات النشطة'!C21</f>
        <v>موزيد خان</v>
      </c>
      <c r="B108" t="str">
        <f>'المركبات النشطة'!F21</f>
        <v>ا س ل 8850</v>
      </c>
      <c r="C108" t="s">
        <v>129</v>
      </c>
      <c r="D108" s="1">
        <f>'المركبات النشطة'!R21</f>
        <v>46515</v>
      </c>
      <c r="E108">
        <f ca="1">'المركبات النشطة'!S21</f>
        <v>299</v>
      </c>
      <c r="F108">
        <f t="shared" ca="1" si="3"/>
        <v>299.00108</v>
      </c>
    </row>
    <row r="109" spans="1:6" x14ac:dyDescent="0.25">
      <c r="A109" t="str">
        <f>'المركبات النشطة'!C22</f>
        <v>بسام علي احمد الجلال</v>
      </c>
      <c r="B109" t="str">
        <f>'المركبات النشطة'!F22</f>
        <v>ا س م 8023</v>
      </c>
      <c r="C109" t="s">
        <v>129</v>
      </c>
      <c r="D109" s="1">
        <f>'المركبات النشطة'!R22</f>
        <v>46484</v>
      </c>
      <c r="E109">
        <f ca="1">'المركبات النشطة'!S22</f>
        <v>268</v>
      </c>
      <c r="F109">
        <f t="shared" ca="1" si="3"/>
        <v>268.00108999999998</v>
      </c>
    </row>
    <row r="110" spans="1:6" x14ac:dyDescent="0.25">
      <c r="A110" t="str">
        <f>'المركبات النشطة'!C23</f>
        <v>كرم ابو الهدى صادق</v>
      </c>
      <c r="B110" t="str">
        <f>'المركبات النشطة'!F23</f>
        <v>ا ر و  4071</v>
      </c>
      <c r="C110" t="s">
        <v>129</v>
      </c>
      <c r="D110" s="1">
        <f>'المركبات النشطة'!R23</f>
        <v>46379</v>
      </c>
      <c r="E110">
        <f ca="1">'المركبات النشطة'!S23</f>
        <v>163</v>
      </c>
      <c r="F110">
        <f t="shared" ca="1" si="3"/>
        <v>163.00110000000001</v>
      </c>
    </row>
    <row r="111" spans="1:6" x14ac:dyDescent="0.25">
      <c r="A111" t="str">
        <f>'المركبات النشطة'!C24</f>
        <v>مران حسين مد تارو</v>
      </c>
      <c r="B111" t="str">
        <f>'المركبات النشطة'!F24</f>
        <v>ا س م 8031</v>
      </c>
      <c r="C111" t="s">
        <v>129</v>
      </c>
      <c r="D111" s="1">
        <f>'المركبات النشطة'!R24</f>
        <v>46485</v>
      </c>
      <c r="E111">
        <f ca="1">'المركبات النشطة'!S24</f>
        <v>269</v>
      </c>
      <c r="F111">
        <f t="shared" ca="1" si="3"/>
        <v>269.00110999999998</v>
      </c>
    </row>
    <row r="112" spans="1:6" x14ac:dyDescent="0.25">
      <c r="A112" t="str">
        <f>'المركبات النشطة'!C25</f>
        <v>محمد عبدالحميد محمد</v>
      </c>
      <c r="B112" t="str">
        <f>'المركبات النشطة'!F25</f>
        <v>ا س م  8035</v>
      </c>
      <c r="C112" t="s">
        <v>129</v>
      </c>
      <c r="D112" s="1">
        <f>'المركبات النشطة'!R25</f>
        <v>46505</v>
      </c>
      <c r="E112">
        <f ca="1">'المركبات النشطة'!S25</f>
        <v>289</v>
      </c>
      <c r="F112">
        <f t="shared" ca="1" si="3"/>
        <v>289.00112000000001</v>
      </c>
    </row>
    <row r="113" spans="1:6" x14ac:dyDescent="0.25">
      <c r="A113" t="str">
        <f>'المركبات النشطة'!C26</f>
        <v>احمد عبدالصبور رشوان</v>
      </c>
      <c r="B113" t="str">
        <f>'المركبات النشطة'!F26</f>
        <v>ا س م  8021</v>
      </c>
      <c r="C113" t="s">
        <v>129</v>
      </c>
      <c r="D113" s="1">
        <f>'المركبات النشطة'!R26</f>
        <v>46505</v>
      </c>
      <c r="E113">
        <f ca="1">'المركبات النشطة'!S26</f>
        <v>289</v>
      </c>
      <c r="F113">
        <f t="shared" ca="1" si="3"/>
        <v>289.00112999999999</v>
      </c>
    </row>
    <row r="114" spans="1:6" x14ac:dyDescent="0.25">
      <c r="A114" t="str">
        <f>'المركبات النشطة'!C27</f>
        <v>انصار الم</v>
      </c>
      <c r="B114" t="str">
        <f>'المركبات النشطة'!F27</f>
        <v>ا ر و  4139</v>
      </c>
      <c r="C114" t="s">
        <v>129</v>
      </c>
      <c r="D114" s="1">
        <f>'المركبات النشطة'!R27</f>
        <v>46515</v>
      </c>
      <c r="E114">
        <f ca="1">'المركبات النشطة'!S27</f>
        <v>299</v>
      </c>
      <c r="F114">
        <f t="shared" ca="1" si="3"/>
        <v>299.00114000000002</v>
      </c>
    </row>
    <row r="115" spans="1:6" x14ac:dyDescent="0.25">
      <c r="A115" t="str">
        <f>'المركبات النشطة'!C28</f>
        <v>شندان دبينات</v>
      </c>
      <c r="B115" t="str">
        <f>'المركبات النشطة'!F28</f>
        <v>ا ر و 4141</v>
      </c>
      <c r="C115" t="s">
        <v>129</v>
      </c>
      <c r="D115" s="1">
        <f>'المركبات النشطة'!R28</f>
        <v>46515</v>
      </c>
      <c r="E115">
        <f ca="1">'المركبات النشطة'!S28</f>
        <v>299</v>
      </c>
      <c r="F115">
        <f t="shared" ca="1" si="3"/>
        <v>299.00115</v>
      </c>
    </row>
    <row r="116" spans="1:6" x14ac:dyDescent="0.25">
      <c r="A116" t="str">
        <f>'المركبات النشطة'!C29</f>
        <v>مد سيف الاسلام</v>
      </c>
      <c r="B116" t="str">
        <f>'المركبات النشطة'!F29</f>
        <v>ا ر ع 2240</v>
      </c>
      <c r="C116" t="s">
        <v>129</v>
      </c>
      <c r="D116" s="1">
        <f>'المركبات النشطة'!R29</f>
        <v>46515</v>
      </c>
      <c r="E116">
        <f ca="1">'المركبات النشطة'!S29</f>
        <v>299</v>
      </c>
      <c r="F116">
        <f t="shared" ca="1" si="3"/>
        <v>299.00116000000003</v>
      </c>
    </row>
    <row r="117" spans="1:6" x14ac:dyDescent="0.25">
      <c r="A117" t="str">
        <f>'المركبات النشطة'!C30</f>
        <v>شوكت علي</v>
      </c>
      <c r="B117" t="str">
        <f>'المركبات النشطة'!F30</f>
        <v>أ س ر 8873</v>
      </c>
      <c r="C117" t="s">
        <v>129</v>
      </c>
      <c r="D117" s="1">
        <f>'المركبات النشطة'!R30</f>
        <v>46515</v>
      </c>
      <c r="E117">
        <f ca="1">'المركبات النشطة'!S30</f>
        <v>299</v>
      </c>
      <c r="F117">
        <f t="shared" ca="1" si="3"/>
        <v>299.00117</v>
      </c>
    </row>
    <row r="118" spans="1:6" x14ac:dyDescent="0.25">
      <c r="A118" t="str">
        <f>'المركبات النشطة'!C31</f>
        <v>علي محمد ابوزيد محمد</v>
      </c>
      <c r="B118" t="str">
        <f>'المركبات النشطة'!F31</f>
        <v>ا ر ل  5580</v>
      </c>
      <c r="C118" t="s">
        <v>129</v>
      </c>
      <c r="D118" s="1">
        <f>'المركبات النشطة'!R31</f>
        <v>46515</v>
      </c>
      <c r="E118">
        <f ca="1">'المركبات النشطة'!S31</f>
        <v>299</v>
      </c>
      <c r="F118">
        <f t="shared" ca="1" si="3"/>
        <v>299.00117999999998</v>
      </c>
    </row>
    <row r="119" spans="1:6" x14ac:dyDescent="0.25">
      <c r="A119" t="str">
        <f>'المركبات النشطة'!C32</f>
        <v>انال كومار</v>
      </c>
      <c r="B119" t="str">
        <f>'المركبات النشطة'!F32</f>
        <v>ا س ح 8715</v>
      </c>
      <c r="C119" t="s">
        <v>129</v>
      </c>
      <c r="D119" s="1">
        <f>'المركبات النشطة'!R32</f>
        <v>46515</v>
      </c>
      <c r="E119">
        <f ca="1">'المركبات النشطة'!S32</f>
        <v>299</v>
      </c>
      <c r="F119">
        <f t="shared" ca="1" si="3"/>
        <v>299.00119000000001</v>
      </c>
    </row>
    <row r="120" spans="1:6" x14ac:dyDescent="0.25">
      <c r="A120" t="str">
        <f>'المركبات النشطة'!C33</f>
        <v>احمد دنقل</v>
      </c>
      <c r="B120" t="str">
        <f>'المركبات النشطة'!F33</f>
        <v>ا ص ا 7810</v>
      </c>
      <c r="C120" t="s">
        <v>129</v>
      </c>
      <c r="D120" s="1">
        <f>'المركبات النشطة'!R33</f>
        <v>46316</v>
      </c>
      <c r="E120">
        <f ca="1">'المركبات النشطة'!S33</f>
        <v>100</v>
      </c>
      <c r="F120">
        <f t="shared" ca="1" si="3"/>
        <v>100.0012</v>
      </c>
    </row>
    <row r="121" spans="1:6" x14ac:dyDescent="0.25">
      <c r="A121" t="str">
        <f>'المركبات النشطة'!C34</f>
        <v>محمد عبدالرحمن السيد المندوه</v>
      </c>
      <c r="B121" t="str">
        <f>'المركبات النشطة'!F34</f>
        <v>أ ص ق 6855</v>
      </c>
      <c r="C121" t="s">
        <v>129</v>
      </c>
      <c r="D121" s="1">
        <f>'المركبات النشطة'!R34</f>
        <v>46515</v>
      </c>
      <c r="E121">
        <f ca="1">'المركبات النشطة'!S34</f>
        <v>299</v>
      </c>
      <c r="F121">
        <f t="shared" ca="1" si="3"/>
        <v>299.00121000000001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لوحة المعلومات</vt:lpstr>
      <vt:lpstr>المركبات النشطة</vt:lpstr>
      <vt:lpstr>الأسبير والمعطلة</vt:lpstr>
      <vt:lpstr>السائقون في إجازة</vt:lpstr>
      <vt:lpstr>بيانات_الربط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خالد الغامدي</cp:lastModifiedBy>
  <cp:revision>1</cp:revision>
  <dcterms:created xsi:type="dcterms:W3CDTF">2026-06-23T11:43:21Z</dcterms:created>
  <dcterms:modified xsi:type="dcterms:W3CDTF">2026-07-13T11:20:38Z</dcterms:modified>
  <dc:language>en-US</dc:language>
</cp:coreProperties>
</file>