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joud\Downloads\"/>
    </mc:Choice>
  </mc:AlternateContent>
  <bookViews>
    <workbookView xWindow="0" yWindow="0" windowWidth="28800" windowHeight="11730" tabRatio="500" activeTab="1"/>
  </bookViews>
  <sheets>
    <sheet name="لوحة المعلومات" sheetId="1" r:id="rId1"/>
    <sheet name="سجل النقل" sheetId="2" r:id="rId2"/>
    <sheet name="معلومات سائقون النقل العام" sheetId="3" r:id="rId3"/>
    <sheet name="سجل الخاص" sheetId="4" r:id="rId4"/>
    <sheet name="الأسبير والمعطلة" sheetId="5" r:id="rId5"/>
    <sheet name="السائقون في إجازة" sheetId="6" r:id="rId6"/>
    <sheet name="بيانات_الربط" sheetId="7" state="hidden" r:id="rId7"/>
  </sheets>
  <calcPr calcId="162913" iterateDelta="1E-4"/>
</workbook>
</file>

<file path=xl/calcChain.xml><?xml version="1.0" encoding="utf-8"?>
<calcChain xmlns="http://schemas.openxmlformats.org/spreadsheetml/2006/main">
  <c r="B23" i="1" l="1"/>
  <c r="D175" i="7"/>
  <c r="B175" i="7"/>
  <c r="A175" i="7"/>
  <c r="D174" i="7"/>
  <c r="B174" i="7"/>
  <c r="A174" i="7"/>
  <c r="D173" i="7"/>
  <c r="B173" i="7"/>
  <c r="A173" i="7"/>
  <c r="D172" i="7"/>
  <c r="B172" i="7"/>
  <c r="A172" i="7"/>
  <c r="D171" i="7"/>
  <c r="B171" i="7"/>
  <c r="A171" i="7"/>
  <c r="D170" i="7"/>
  <c r="B170" i="7"/>
  <c r="A170" i="7"/>
  <c r="D169" i="7"/>
  <c r="B169" i="7"/>
  <c r="A169" i="7"/>
  <c r="D168" i="7"/>
  <c r="B168" i="7"/>
  <c r="A168" i="7"/>
  <c r="D167" i="7"/>
  <c r="B167" i="7"/>
  <c r="A167" i="7"/>
  <c r="D166" i="7"/>
  <c r="B166" i="7"/>
  <c r="A166" i="7"/>
  <c r="D165" i="7"/>
  <c r="B165" i="7"/>
  <c r="A165" i="7"/>
  <c r="D164" i="7"/>
  <c r="B164" i="7"/>
  <c r="A164" i="7"/>
  <c r="D163" i="7"/>
  <c r="B163" i="7"/>
  <c r="A163" i="7"/>
  <c r="D162" i="7"/>
  <c r="B162" i="7"/>
  <c r="A162" i="7"/>
  <c r="D161" i="7"/>
  <c r="B161" i="7"/>
  <c r="A161" i="7"/>
  <c r="D160" i="7"/>
  <c r="B160" i="7"/>
  <c r="A160" i="7"/>
  <c r="D159" i="7"/>
  <c r="B159" i="7"/>
  <c r="A159" i="7"/>
  <c r="D158" i="7"/>
  <c r="B158" i="7"/>
  <c r="A158" i="7"/>
  <c r="D157" i="7"/>
  <c r="B157" i="7"/>
  <c r="A157" i="7"/>
  <c r="D156" i="7"/>
  <c r="B156" i="7"/>
  <c r="A156" i="7"/>
  <c r="D155" i="7"/>
  <c r="B155" i="7"/>
  <c r="A155" i="7"/>
  <c r="D154" i="7"/>
  <c r="B154" i="7"/>
  <c r="A154" i="7"/>
  <c r="D153" i="7"/>
  <c r="B153" i="7"/>
  <c r="A153" i="7"/>
  <c r="D152" i="7"/>
  <c r="B152" i="7"/>
  <c r="A152" i="7"/>
  <c r="D151" i="7"/>
  <c r="B151" i="7"/>
  <c r="A151" i="7"/>
  <c r="D150" i="7"/>
  <c r="B150" i="7"/>
  <c r="A150" i="7"/>
  <c r="D149" i="7"/>
  <c r="B149" i="7"/>
  <c r="A149" i="7"/>
  <c r="D148" i="7"/>
  <c r="B148" i="7"/>
  <c r="A148" i="7"/>
  <c r="D147" i="7"/>
  <c r="B147" i="7"/>
  <c r="A147" i="7"/>
  <c r="D146" i="7"/>
  <c r="B146" i="7"/>
  <c r="A146" i="7"/>
  <c r="D145" i="7"/>
  <c r="B145" i="7"/>
  <c r="A145" i="7"/>
  <c r="D144" i="7"/>
  <c r="B144" i="7"/>
  <c r="A144" i="7"/>
  <c r="D143" i="7"/>
  <c r="B143" i="7"/>
  <c r="A143" i="7"/>
  <c r="D142" i="7"/>
  <c r="B142" i="7"/>
  <c r="A142" i="7"/>
  <c r="D141" i="7"/>
  <c r="B141" i="7"/>
  <c r="A141" i="7"/>
  <c r="D140" i="7"/>
  <c r="B140" i="7"/>
  <c r="A140" i="7"/>
  <c r="D139" i="7"/>
  <c r="B139" i="7"/>
  <c r="A139" i="7"/>
  <c r="D138" i="7"/>
  <c r="B138" i="7"/>
  <c r="A138" i="7"/>
  <c r="D137" i="7"/>
  <c r="B137" i="7"/>
  <c r="A137" i="7"/>
  <c r="D136" i="7"/>
  <c r="B136" i="7"/>
  <c r="A136" i="7"/>
  <c r="D135" i="7"/>
  <c r="B135" i="7"/>
  <c r="A135" i="7"/>
  <c r="D134" i="7"/>
  <c r="B134" i="7"/>
  <c r="A134" i="7"/>
  <c r="D133" i="7"/>
  <c r="B133" i="7"/>
  <c r="A133" i="7"/>
  <c r="D132" i="7"/>
  <c r="B132" i="7"/>
  <c r="A132" i="7"/>
  <c r="D131" i="7"/>
  <c r="B131" i="7"/>
  <c r="A131" i="7"/>
  <c r="D130" i="7"/>
  <c r="B130" i="7"/>
  <c r="A130" i="7"/>
  <c r="D129" i="7"/>
  <c r="B129" i="7"/>
  <c r="A129" i="7"/>
  <c r="D128" i="7"/>
  <c r="B128" i="7"/>
  <c r="A128" i="7"/>
  <c r="D127" i="7"/>
  <c r="B127" i="7"/>
  <c r="A127" i="7"/>
  <c r="D126" i="7"/>
  <c r="B126" i="7"/>
  <c r="A126" i="7"/>
  <c r="D125" i="7"/>
  <c r="B125" i="7"/>
  <c r="A125" i="7"/>
  <c r="D124" i="7"/>
  <c r="B124" i="7"/>
  <c r="A124" i="7"/>
  <c r="D123" i="7"/>
  <c r="B123" i="7"/>
  <c r="A123" i="7"/>
  <c r="D122" i="7"/>
  <c r="B122" i="7"/>
  <c r="A122" i="7"/>
  <c r="D121" i="7"/>
  <c r="B121" i="7"/>
  <c r="A121" i="7"/>
  <c r="D120" i="7"/>
  <c r="B120" i="7"/>
  <c r="A120" i="7"/>
  <c r="D119" i="7"/>
  <c r="B119" i="7"/>
  <c r="A119" i="7"/>
  <c r="E118" i="7"/>
  <c r="F118" i="7" s="1"/>
  <c r="D118" i="7"/>
  <c r="B118" i="7"/>
  <c r="A118" i="7"/>
  <c r="D117" i="7"/>
  <c r="B117" i="7"/>
  <c r="A117" i="7"/>
  <c r="D116" i="7"/>
  <c r="B116" i="7"/>
  <c r="A116" i="7"/>
  <c r="D115" i="7"/>
  <c r="B115" i="7"/>
  <c r="A115" i="7"/>
  <c r="D114" i="7"/>
  <c r="B114" i="7"/>
  <c r="A114" i="7"/>
  <c r="D113" i="7"/>
  <c r="B113" i="7"/>
  <c r="A113" i="7"/>
  <c r="D112" i="7"/>
  <c r="B112" i="7"/>
  <c r="A112" i="7"/>
  <c r="D111" i="7"/>
  <c r="B111" i="7"/>
  <c r="A111" i="7"/>
  <c r="D110" i="7"/>
  <c r="B110" i="7"/>
  <c r="A110" i="7"/>
  <c r="D109" i="7"/>
  <c r="B109" i="7"/>
  <c r="A109" i="7"/>
  <c r="D108" i="7"/>
  <c r="B108" i="7"/>
  <c r="A108" i="7"/>
  <c r="D107" i="7"/>
  <c r="B107" i="7"/>
  <c r="A107" i="7"/>
  <c r="D106" i="7"/>
  <c r="B106" i="7"/>
  <c r="A106" i="7"/>
  <c r="D105" i="7"/>
  <c r="B105" i="7"/>
  <c r="A105" i="7"/>
  <c r="D104" i="7"/>
  <c r="B104" i="7"/>
  <c r="A104" i="7"/>
  <c r="D103" i="7"/>
  <c r="B103" i="7"/>
  <c r="A103" i="7"/>
  <c r="D102" i="7"/>
  <c r="B102" i="7"/>
  <c r="A102" i="7"/>
  <c r="D101" i="7"/>
  <c r="B101" i="7"/>
  <c r="A101" i="7"/>
  <c r="D100" i="7"/>
  <c r="B100" i="7"/>
  <c r="A100" i="7"/>
  <c r="D99" i="7"/>
  <c r="B99" i="7"/>
  <c r="A99" i="7"/>
  <c r="D98" i="7"/>
  <c r="B98" i="7"/>
  <c r="A98" i="7"/>
  <c r="D97" i="7"/>
  <c r="B97" i="7"/>
  <c r="A97" i="7"/>
  <c r="D96" i="7"/>
  <c r="B96" i="7"/>
  <c r="A96" i="7"/>
  <c r="D95" i="7"/>
  <c r="B95" i="7"/>
  <c r="A95" i="7"/>
  <c r="D94" i="7"/>
  <c r="B94" i="7"/>
  <c r="A94" i="7"/>
  <c r="D93" i="7"/>
  <c r="B93" i="7"/>
  <c r="A93" i="7"/>
  <c r="D92" i="7"/>
  <c r="B92" i="7"/>
  <c r="A92" i="7"/>
  <c r="D91" i="7"/>
  <c r="B91" i="7"/>
  <c r="A91" i="7"/>
  <c r="D90" i="7"/>
  <c r="B90" i="7"/>
  <c r="A90" i="7"/>
  <c r="D89" i="7"/>
  <c r="B89" i="7"/>
  <c r="A89" i="7"/>
  <c r="F88" i="7"/>
  <c r="E88" i="7"/>
  <c r="D88" i="7"/>
  <c r="B88" i="7"/>
  <c r="A88" i="7"/>
  <c r="D87" i="7"/>
  <c r="B87" i="7"/>
  <c r="A87" i="7"/>
  <c r="D86" i="7"/>
  <c r="B86" i="7"/>
  <c r="A86" i="7"/>
  <c r="D85" i="7"/>
  <c r="B85" i="7"/>
  <c r="A85" i="7"/>
  <c r="D84" i="7"/>
  <c r="B84" i="7"/>
  <c r="A84" i="7"/>
  <c r="D83" i="7"/>
  <c r="B83" i="7"/>
  <c r="A83" i="7"/>
  <c r="D82" i="7"/>
  <c r="B82" i="7"/>
  <c r="A82" i="7"/>
  <c r="D81" i="7"/>
  <c r="B81" i="7"/>
  <c r="A81" i="7"/>
  <c r="D80" i="7"/>
  <c r="B80" i="7"/>
  <c r="A80" i="7"/>
  <c r="D79" i="7"/>
  <c r="B79" i="7"/>
  <c r="A79" i="7"/>
  <c r="D78" i="7"/>
  <c r="B78" i="7"/>
  <c r="A78" i="7"/>
  <c r="D77" i="7"/>
  <c r="B77" i="7"/>
  <c r="A77" i="7"/>
  <c r="D76" i="7"/>
  <c r="B76" i="7"/>
  <c r="A76" i="7"/>
  <c r="D75" i="7"/>
  <c r="B75" i="7"/>
  <c r="A75" i="7"/>
  <c r="D74" i="7"/>
  <c r="B74" i="7"/>
  <c r="A74" i="7"/>
  <c r="D73" i="7"/>
  <c r="B73" i="7"/>
  <c r="A73" i="7"/>
  <c r="D72" i="7"/>
  <c r="B72" i="7"/>
  <c r="A72" i="7"/>
  <c r="D71" i="7"/>
  <c r="B71" i="7"/>
  <c r="A71" i="7"/>
  <c r="D70" i="7"/>
  <c r="B70" i="7"/>
  <c r="A70" i="7"/>
  <c r="D69" i="7"/>
  <c r="B69" i="7"/>
  <c r="A69" i="7"/>
  <c r="D68" i="7"/>
  <c r="B68" i="7"/>
  <c r="A68" i="7"/>
  <c r="D67" i="7"/>
  <c r="B67" i="7"/>
  <c r="A67" i="7"/>
  <c r="D66" i="7"/>
  <c r="B66" i="7"/>
  <c r="A66" i="7"/>
  <c r="D65" i="7"/>
  <c r="B65" i="7"/>
  <c r="A65" i="7"/>
  <c r="D64" i="7"/>
  <c r="B64" i="7"/>
  <c r="A64" i="7"/>
  <c r="D63" i="7"/>
  <c r="B63" i="7"/>
  <c r="A63" i="7"/>
  <c r="D62" i="7"/>
  <c r="B62" i="7"/>
  <c r="A62" i="7"/>
  <c r="D61" i="7"/>
  <c r="B61" i="7"/>
  <c r="A61" i="7"/>
  <c r="D60" i="7"/>
  <c r="B60" i="7"/>
  <c r="A60" i="7"/>
  <c r="D59" i="7"/>
  <c r="B59" i="7"/>
  <c r="A59" i="7"/>
  <c r="E58" i="7"/>
  <c r="F58" i="7" s="1"/>
  <c r="D58" i="7"/>
  <c r="B58" i="7"/>
  <c r="A58" i="7"/>
  <c r="D57" i="7"/>
  <c r="B57" i="7"/>
  <c r="A57" i="7"/>
  <c r="D56" i="7"/>
  <c r="B56" i="7"/>
  <c r="A56" i="7"/>
  <c r="D55" i="7"/>
  <c r="B55" i="7"/>
  <c r="A55" i="7"/>
  <c r="D54" i="7"/>
  <c r="B54" i="7"/>
  <c r="A54" i="7"/>
  <c r="D53" i="7"/>
  <c r="B53" i="7"/>
  <c r="A53" i="7"/>
  <c r="D52" i="7"/>
  <c r="B52" i="7"/>
  <c r="A52" i="7"/>
  <c r="D51" i="7"/>
  <c r="B51" i="7"/>
  <c r="A51" i="7"/>
  <c r="D50" i="7"/>
  <c r="B50" i="7"/>
  <c r="A50" i="7"/>
  <c r="D49" i="7"/>
  <c r="B49" i="7"/>
  <c r="A49" i="7"/>
  <c r="D48" i="7"/>
  <c r="B48" i="7"/>
  <c r="A48" i="7"/>
  <c r="D47" i="7"/>
  <c r="B47" i="7"/>
  <c r="A47" i="7"/>
  <c r="D46" i="7"/>
  <c r="B46" i="7"/>
  <c r="A46" i="7"/>
  <c r="D45" i="7"/>
  <c r="B45" i="7"/>
  <c r="A45" i="7"/>
  <c r="D44" i="7"/>
  <c r="B44" i="7"/>
  <c r="A44" i="7"/>
  <c r="D43" i="7"/>
  <c r="B43" i="7"/>
  <c r="A43" i="7"/>
  <c r="D42" i="7"/>
  <c r="B42" i="7"/>
  <c r="A42" i="7"/>
  <c r="D41" i="7"/>
  <c r="B41" i="7"/>
  <c r="A41" i="7"/>
  <c r="D40" i="7"/>
  <c r="B40" i="7"/>
  <c r="A40" i="7"/>
  <c r="D39" i="7"/>
  <c r="B39" i="7"/>
  <c r="A39" i="7"/>
  <c r="D38" i="7"/>
  <c r="B38" i="7"/>
  <c r="A38" i="7"/>
  <c r="D37" i="7"/>
  <c r="B37" i="7"/>
  <c r="A37" i="7"/>
  <c r="D36" i="7"/>
  <c r="B36" i="7"/>
  <c r="A36" i="7"/>
  <c r="D35" i="7"/>
  <c r="B35" i="7"/>
  <c r="A35" i="7"/>
  <c r="D34" i="7"/>
  <c r="B34" i="7"/>
  <c r="A34" i="7"/>
  <c r="D33" i="7"/>
  <c r="B33" i="7"/>
  <c r="A33" i="7"/>
  <c r="D32" i="7"/>
  <c r="B32" i="7"/>
  <c r="A32" i="7"/>
  <c r="D31" i="7"/>
  <c r="B31" i="7"/>
  <c r="A31" i="7"/>
  <c r="D30" i="7"/>
  <c r="B30" i="7"/>
  <c r="A30" i="7"/>
  <c r="D29" i="7"/>
  <c r="B29" i="7"/>
  <c r="A29" i="7"/>
  <c r="E28" i="7"/>
  <c r="F28" i="7" s="1"/>
  <c r="D28" i="7"/>
  <c r="B28" i="7"/>
  <c r="A28" i="7"/>
  <c r="D27" i="7"/>
  <c r="B27" i="7"/>
  <c r="A27" i="7"/>
  <c r="D26" i="7"/>
  <c r="B26" i="7"/>
  <c r="A26" i="7"/>
  <c r="D25" i="7"/>
  <c r="B25" i="7"/>
  <c r="A25" i="7"/>
  <c r="D24" i="7"/>
  <c r="B24" i="7"/>
  <c r="A24" i="7"/>
  <c r="D23" i="7"/>
  <c r="B23" i="7"/>
  <c r="A23" i="7"/>
  <c r="D22" i="7"/>
  <c r="B22" i="7"/>
  <c r="A22" i="7"/>
  <c r="D21" i="7"/>
  <c r="B21" i="7"/>
  <c r="A21" i="7"/>
  <c r="D20" i="7"/>
  <c r="B20" i="7"/>
  <c r="A20" i="7"/>
  <c r="D19" i="7"/>
  <c r="B19" i="7"/>
  <c r="A19" i="7"/>
  <c r="D18" i="7"/>
  <c r="B18" i="7"/>
  <c r="A18" i="7"/>
  <c r="D17" i="7"/>
  <c r="B17" i="7"/>
  <c r="A17" i="7"/>
  <c r="D16" i="7"/>
  <c r="B16" i="7"/>
  <c r="A16" i="7"/>
  <c r="D15" i="7"/>
  <c r="B15" i="7"/>
  <c r="A15" i="7"/>
  <c r="D14" i="7"/>
  <c r="B14" i="7"/>
  <c r="A14" i="7"/>
  <c r="D13" i="7"/>
  <c r="B13" i="7"/>
  <c r="A13" i="7"/>
  <c r="D12" i="7"/>
  <c r="B12" i="7"/>
  <c r="A12" i="7"/>
  <c r="D11" i="7"/>
  <c r="B11" i="7"/>
  <c r="A11" i="7"/>
  <c r="D10" i="7"/>
  <c r="B10" i="7"/>
  <c r="A10" i="7"/>
  <c r="D9" i="7"/>
  <c r="B9" i="7"/>
  <c r="A9" i="7"/>
  <c r="D8" i="7"/>
  <c r="B8" i="7"/>
  <c r="A8" i="7"/>
  <c r="D7" i="7"/>
  <c r="B7" i="7"/>
  <c r="A7" i="7"/>
  <c r="D6" i="7"/>
  <c r="B6" i="7"/>
  <c r="A6" i="7"/>
  <c r="D5" i="7"/>
  <c r="B5" i="7"/>
  <c r="A5" i="7"/>
  <c r="D4" i="7"/>
  <c r="B4" i="7"/>
  <c r="A4" i="7"/>
  <c r="D3" i="7"/>
  <c r="B3" i="7"/>
  <c r="A3" i="7"/>
  <c r="D2" i="7"/>
  <c r="B2" i="7"/>
  <c r="A2" i="7"/>
  <c r="G8" i="6"/>
  <c r="G7" i="6"/>
  <c r="G6" i="6"/>
  <c r="G5" i="6"/>
  <c r="G4" i="6"/>
  <c r="O19" i="5"/>
  <c r="O18" i="5"/>
  <c r="M18" i="5"/>
  <c r="K18" i="5"/>
  <c r="O17" i="5"/>
  <c r="M17" i="5"/>
  <c r="K17" i="5"/>
  <c r="O16" i="5"/>
  <c r="M16" i="5"/>
  <c r="K16" i="5"/>
  <c r="O15" i="5"/>
  <c r="M15" i="5"/>
  <c r="K15" i="5"/>
  <c r="O14" i="5"/>
  <c r="M14" i="5"/>
  <c r="K14" i="5"/>
  <c r="O13" i="5"/>
  <c r="M13" i="5"/>
  <c r="K13" i="5"/>
  <c r="O12" i="5"/>
  <c r="M12" i="5"/>
  <c r="K12" i="5"/>
  <c r="O11" i="5"/>
  <c r="M11" i="5"/>
  <c r="K11" i="5"/>
  <c r="O10" i="5"/>
  <c r="M10" i="5"/>
  <c r="K10" i="5"/>
  <c r="O9" i="5"/>
  <c r="M9" i="5"/>
  <c r="K9" i="5"/>
  <c r="O8" i="5"/>
  <c r="M8" i="5"/>
  <c r="K8" i="5"/>
  <c r="O7" i="5"/>
  <c r="M7" i="5"/>
  <c r="K7" i="5"/>
  <c r="O6" i="5"/>
  <c r="M6" i="5"/>
  <c r="K6" i="5"/>
  <c r="O5" i="5"/>
  <c r="M5" i="5"/>
  <c r="K5" i="5"/>
  <c r="O4" i="5"/>
  <c r="M4" i="5"/>
  <c r="K4" i="5"/>
  <c r="N31" i="4"/>
  <c r="E175" i="7" s="1"/>
  <c r="F175" i="7" s="1"/>
  <c r="L31" i="4"/>
  <c r="E148" i="7" s="1"/>
  <c r="F148" i="7" s="1"/>
  <c r="N30" i="4"/>
  <c r="E174" i="7" s="1"/>
  <c r="F174" i="7" s="1"/>
  <c r="L30" i="4"/>
  <c r="E147" i="7" s="1"/>
  <c r="F147" i="7" s="1"/>
  <c r="N29" i="4"/>
  <c r="E173" i="7" s="1"/>
  <c r="F173" i="7" s="1"/>
  <c r="L29" i="4"/>
  <c r="E146" i="7" s="1"/>
  <c r="F146" i="7" s="1"/>
  <c r="N28" i="4"/>
  <c r="E172" i="7" s="1"/>
  <c r="F172" i="7" s="1"/>
  <c r="L28" i="4"/>
  <c r="E145" i="7" s="1"/>
  <c r="F145" i="7" s="1"/>
  <c r="N27" i="4"/>
  <c r="E171" i="7" s="1"/>
  <c r="F171" i="7" s="1"/>
  <c r="L27" i="4"/>
  <c r="E144" i="7" s="1"/>
  <c r="F144" i="7" s="1"/>
  <c r="N26" i="4"/>
  <c r="E170" i="7" s="1"/>
  <c r="F170" i="7" s="1"/>
  <c r="L26" i="4"/>
  <c r="E143" i="7" s="1"/>
  <c r="F143" i="7" s="1"/>
  <c r="N25" i="4"/>
  <c r="E169" i="7" s="1"/>
  <c r="F169" i="7" s="1"/>
  <c r="L25" i="4"/>
  <c r="E142" i="7" s="1"/>
  <c r="F142" i="7" s="1"/>
  <c r="N24" i="4"/>
  <c r="E168" i="7" s="1"/>
  <c r="F168" i="7" s="1"/>
  <c r="L24" i="4"/>
  <c r="E141" i="7" s="1"/>
  <c r="F141" i="7" s="1"/>
  <c r="N23" i="4"/>
  <c r="E167" i="7" s="1"/>
  <c r="F167" i="7" s="1"/>
  <c r="L23" i="4"/>
  <c r="E140" i="7" s="1"/>
  <c r="F140" i="7" s="1"/>
  <c r="N22" i="4"/>
  <c r="E166" i="7" s="1"/>
  <c r="F166" i="7" s="1"/>
  <c r="L22" i="4"/>
  <c r="E139" i="7" s="1"/>
  <c r="F139" i="7" s="1"/>
  <c r="N21" i="4"/>
  <c r="E165" i="7" s="1"/>
  <c r="F165" i="7" s="1"/>
  <c r="L21" i="4"/>
  <c r="E138" i="7" s="1"/>
  <c r="F138" i="7" s="1"/>
  <c r="N20" i="4"/>
  <c r="E164" i="7" s="1"/>
  <c r="F164" i="7" s="1"/>
  <c r="L20" i="4"/>
  <c r="E137" i="7" s="1"/>
  <c r="F137" i="7" s="1"/>
  <c r="N19" i="4"/>
  <c r="E163" i="7" s="1"/>
  <c r="F163" i="7" s="1"/>
  <c r="L19" i="4"/>
  <c r="E136" i="7" s="1"/>
  <c r="F136" i="7" s="1"/>
  <c r="N18" i="4"/>
  <c r="E162" i="7" s="1"/>
  <c r="F162" i="7" s="1"/>
  <c r="L18" i="4"/>
  <c r="E135" i="7" s="1"/>
  <c r="F135" i="7" s="1"/>
  <c r="N17" i="4"/>
  <c r="E161" i="7" s="1"/>
  <c r="F161" i="7" s="1"/>
  <c r="L17" i="4"/>
  <c r="E134" i="7" s="1"/>
  <c r="F134" i="7" s="1"/>
  <c r="N16" i="4"/>
  <c r="E160" i="7" s="1"/>
  <c r="F160" i="7" s="1"/>
  <c r="L16" i="4"/>
  <c r="E133" i="7" s="1"/>
  <c r="F133" i="7" s="1"/>
  <c r="N15" i="4"/>
  <c r="E159" i="7" s="1"/>
  <c r="F159" i="7" s="1"/>
  <c r="L15" i="4"/>
  <c r="E132" i="7" s="1"/>
  <c r="F132" i="7" s="1"/>
  <c r="N14" i="4"/>
  <c r="E158" i="7" s="1"/>
  <c r="F158" i="7" s="1"/>
  <c r="L14" i="4"/>
  <c r="E131" i="7" s="1"/>
  <c r="F131" i="7" s="1"/>
  <c r="N13" i="4"/>
  <c r="E157" i="7" s="1"/>
  <c r="F157" i="7" s="1"/>
  <c r="L13" i="4"/>
  <c r="E130" i="7" s="1"/>
  <c r="F130" i="7" s="1"/>
  <c r="N12" i="4"/>
  <c r="E156" i="7" s="1"/>
  <c r="F156" i="7" s="1"/>
  <c r="L12" i="4"/>
  <c r="E129" i="7" s="1"/>
  <c r="F129" i="7" s="1"/>
  <c r="N11" i="4"/>
  <c r="E155" i="7" s="1"/>
  <c r="F155" i="7" s="1"/>
  <c r="L11" i="4"/>
  <c r="E128" i="7" s="1"/>
  <c r="F128" i="7" s="1"/>
  <c r="N10" i="4"/>
  <c r="E154" i="7" s="1"/>
  <c r="F154" i="7" s="1"/>
  <c r="L10" i="4"/>
  <c r="E127" i="7" s="1"/>
  <c r="F127" i="7" s="1"/>
  <c r="N9" i="4"/>
  <c r="E153" i="7" s="1"/>
  <c r="F153" i="7" s="1"/>
  <c r="L9" i="4"/>
  <c r="E126" i="7" s="1"/>
  <c r="F126" i="7" s="1"/>
  <c r="N8" i="4"/>
  <c r="E152" i="7" s="1"/>
  <c r="F152" i="7" s="1"/>
  <c r="L8" i="4"/>
  <c r="E125" i="7" s="1"/>
  <c r="F125" i="7" s="1"/>
  <c r="N7" i="4"/>
  <c r="E151" i="7" s="1"/>
  <c r="F151" i="7" s="1"/>
  <c r="L7" i="4"/>
  <c r="E124" i="7" s="1"/>
  <c r="F124" i="7" s="1"/>
  <c r="N6" i="4"/>
  <c r="E150" i="7" s="1"/>
  <c r="F150" i="7" s="1"/>
  <c r="L6" i="4"/>
  <c r="E123" i="7" s="1"/>
  <c r="F123" i="7" s="1"/>
  <c r="N5" i="4"/>
  <c r="E149" i="7" s="1"/>
  <c r="F149" i="7" s="1"/>
  <c r="L5" i="4"/>
  <c r="E122" i="7" s="1"/>
  <c r="F122" i="7" s="1"/>
  <c r="O2" i="4"/>
  <c r="S33" i="2"/>
  <c r="E121" i="7" s="1"/>
  <c r="F121" i="7" s="1"/>
  <c r="Q33" i="2"/>
  <c r="E91" i="7" s="1"/>
  <c r="F91" i="7" s="1"/>
  <c r="O33" i="2"/>
  <c r="E61" i="7" s="1"/>
  <c r="F61" i="7" s="1"/>
  <c r="M33" i="2"/>
  <c r="E31" i="7" s="1"/>
  <c r="F31" i="7" s="1"/>
  <c r="S32" i="2"/>
  <c r="E120" i="7" s="1"/>
  <c r="F120" i="7" s="1"/>
  <c r="Q32" i="2"/>
  <c r="E90" i="7" s="1"/>
  <c r="F90" i="7" s="1"/>
  <c r="O32" i="2"/>
  <c r="E60" i="7" s="1"/>
  <c r="F60" i="7" s="1"/>
  <c r="M32" i="2"/>
  <c r="E30" i="7" s="1"/>
  <c r="F30" i="7" s="1"/>
  <c r="S31" i="2"/>
  <c r="E119" i="7" s="1"/>
  <c r="F119" i="7" s="1"/>
  <c r="Q31" i="2"/>
  <c r="E89" i="7" s="1"/>
  <c r="F89" i="7" s="1"/>
  <c r="O31" i="2"/>
  <c r="E59" i="7" s="1"/>
  <c r="F59" i="7" s="1"/>
  <c r="M31" i="2"/>
  <c r="E29" i="7" s="1"/>
  <c r="F29" i="7" s="1"/>
  <c r="S30" i="2"/>
  <c r="E117" i="7" s="1"/>
  <c r="F117" i="7" s="1"/>
  <c r="Q30" i="2"/>
  <c r="E87" i="7" s="1"/>
  <c r="F87" i="7" s="1"/>
  <c r="O30" i="2"/>
  <c r="E57" i="7" s="1"/>
  <c r="F57" i="7" s="1"/>
  <c r="M30" i="2"/>
  <c r="E27" i="7" s="1"/>
  <c r="F27" i="7" s="1"/>
  <c r="S29" i="2"/>
  <c r="E116" i="7" s="1"/>
  <c r="F116" i="7" s="1"/>
  <c r="Q29" i="2"/>
  <c r="E86" i="7" s="1"/>
  <c r="F86" i="7" s="1"/>
  <c r="O29" i="2"/>
  <c r="E56" i="7" s="1"/>
  <c r="F56" i="7" s="1"/>
  <c r="M29" i="2"/>
  <c r="E26" i="7" s="1"/>
  <c r="F26" i="7" s="1"/>
  <c r="S28" i="2"/>
  <c r="E115" i="7" s="1"/>
  <c r="F115" i="7" s="1"/>
  <c r="Q28" i="2"/>
  <c r="E85" i="7" s="1"/>
  <c r="F85" i="7" s="1"/>
  <c r="O28" i="2"/>
  <c r="E55" i="7" s="1"/>
  <c r="F55" i="7" s="1"/>
  <c r="M28" i="2"/>
  <c r="E25" i="7" s="1"/>
  <c r="F25" i="7" s="1"/>
  <c r="S27" i="2"/>
  <c r="E114" i="7" s="1"/>
  <c r="F114" i="7" s="1"/>
  <c r="Q27" i="2"/>
  <c r="E84" i="7" s="1"/>
  <c r="F84" i="7" s="1"/>
  <c r="O27" i="2"/>
  <c r="E54" i="7" s="1"/>
  <c r="F54" i="7" s="1"/>
  <c r="M27" i="2"/>
  <c r="E24" i="7" s="1"/>
  <c r="F24" i="7" s="1"/>
  <c r="S26" i="2"/>
  <c r="E113" i="7" s="1"/>
  <c r="F113" i="7" s="1"/>
  <c r="Q26" i="2"/>
  <c r="E83" i="7" s="1"/>
  <c r="F83" i="7" s="1"/>
  <c r="O26" i="2"/>
  <c r="E53" i="7" s="1"/>
  <c r="F53" i="7" s="1"/>
  <c r="M26" i="2"/>
  <c r="E23" i="7" s="1"/>
  <c r="F23" i="7" s="1"/>
  <c r="S25" i="2"/>
  <c r="E112" i="7" s="1"/>
  <c r="F112" i="7" s="1"/>
  <c r="Q25" i="2"/>
  <c r="E82" i="7" s="1"/>
  <c r="F82" i="7" s="1"/>
  <c r="O25" i="2"/>
  <c r="E52" i="7" s="1"/>
  <c r="F52" i="7" s="1"/>
  <c r="M25" i="2"/>
  <c r="E22" i="7" s="1"/>
  <c r="F22" i="7" s="1"/>
  <c r="S24" i="2"/>
  <c r="E111" i="7" s="1"/>
  <c r="F111" i="7" s="1"/>
  <c r="Q24" i="2"/>
  <c r="E81" i="7" s="1"/>
  <c r="F81" i="7" s="1"/>
  <c r="O24" i="2"/>
  <c r="E51" i="7" s="1"/>
  <c r="F51" i="7" s="1"/>
  <c r="M24" i="2"/>
  <c r="E21" i="7" s="1"/>
  <c r="F21" i="7" s="1"/>
  <c r="S23" i="2"/>
  <c r="E110" i="7" s="1"/>
  <c r="F110" i="7" s="1"/>
  <c r="Q23" i="2"/>
  <c r="E80" i="7" s="1"/>
  <c r="F80" i="7" s="1"/>
  <c r="O23" i="2"/>
  <c r="E50" i="7" s="1"/>
  <c r="F50" i="7" s="1"/>
  <c r="M23" i="2"/>
  <c r="E20" i="7" s="1"/>
  <c r="F20" i="7" s="1"/>
  <c r="S22" i="2"/>
  <c r="E109" i="7" s="1"/>
  <c r="F109" i="7" s="1"/>
  <c r="Q22" i="2"/>
  <c r="E79" i="7" s="1"/>
  <c r="F79" i="7" s="1"/>
  <c r="O22" i="2"/>
  <c r="E49" i="7" s="1"/>
  <c r="F49" i="7" s="1"/>
  <c r="M22" i="2"/>
  <c r="E19" i="7" s="1"/>
  <c r="F19" i="7" s="1"/>
  <c r="S21" i="2"/>
  <c r="E108" i="7" s="1"/>
  <c r="F108" i="7" s="1"/>
  <c r="Q21" i="2"/>
  <c r="E78" i="7" s="1"/>
  <c r="F78" i="7" s="1"/>
  <c r="O21" i="2"/>
  <c r="E48" i="7" s="1"/>
  <c r="F48" i="7" s="1"/>
  <c r="M21" i="2"/>
  <c r="E18" i="7" s="1"/>
  <c r="F18" i="7" s="1"/>
  <c r="S20" i="2"/>
  <c r="E107" i="7" s="1"/>
  <c r="F107" i="7" s="1"/>
  <c r="Q20" i="2"/>
  <c r="E77" i="7" s="1"/>
  <c r="F77" i="7" s="1"/>
  <c r="O20" i="2"/>
  <c r="E47" i="7" s="1"/>
  <c r="F47" i="7" s="1"/>
  <c r="M20" i="2"/>
  <c r="E17" i="7" s="1"/>
  <c r="F17" i="7" s="1"/>
  <c r="S19" i="2"/>
  <c r="E106" i="7" s="1"/>
  <c r="F106" i="7" s="1"/>
  <c r="Q19" i="2"/>
  <c r="E76" i="7" s="1"/>
  <c r="F76" i="7" s="1"/>
  <c r="O19" i="2"/>
  <c r="E46" i="7" s="1"/>
  <c r="F46" i="7" s="1"/>
  <c r="M19" i="2"/>
  <c r="E16" i="7" s="1"/>
  <c r="F16" i="7" s="1"/>
  <c r="S18" i="2"/>
  <c r="E105" i="7" s="1"/>
  <c r="F105" i="7" s="1"/>
  <c r="Q18" i="2"/>
  <c r="E75" i="7" s="1"/>
  <c r="F75" i="7" s="1"/>
  <c r="O18" i="2"/>
  <c r="E45" i="7" s="1"/>
  <c r="F45" i="7" s="1"/>
  <c r="M18" i="2"/>
  <c r="E15" i="7" s="1"/>
  <c r="F15" i="7" s="1"/>
  <c r="S17" i="2"/>
  <c r="E104" i="7" s="1"/>
  <c r="F104" i="7" s="1"/>
  <c r="Q17" i="2"/>
  <c r="E74" i="7" s="1"/>
  <c r="F74" i="7" s="1"/>
  <c r="O17" i="2"/>
  <c r="E44" i="7" s="1"/>
  <c r="F44" i="7" s="1"/>
  <c r="M17" i="2"/>
  <c r="E14" i="7" s="1"/>
  <c r="F14" i="7" s="1"/>
  <c r="S16" i="2"/>
  <c r="E103" i="7" s="1"/>
  <c r="F103" i="7" s="1"/>
  <c r="Q16" i="2"/>
  <c r="E73" i="7" s="1"/>
  <c r="F73" i="7" s="1"/>
  <c r="O16" i="2"/>
  <c r="E43" i="7" s="1"/>
  <c r="F43" i="7" s="1"/>
  <c r="M16" i="2"/>
  <c r="E13" i="7" s="1"/>
  <c r="F13" i="7" s="1"/>
  <c r="S15" i="2"/>
  <c r="E102" i="7" s="1"/>
  <c r="F102" i="7" s="1"/>
  <c r="Q15" i="2"/>
  <c r="E72" i="7" s="1"/>
  <c r="F72" i="7" s="1"/>
  <c r="O15" i="2"/>
  <c r="E42" i="7" s="1"/>
  <c r="F42" i="7" s="1"/>
  <c r="M15" i="2"/>
  <c r="E12" i="7" s="1"/>
  <c r="F12" i="7" s="1"/>
  <c r="S14" i="2"/>
  <c r="E101" i="7" s="1"/>
  <c r="F101" i="7" s="1"/>
  <c r="Q14" i="2"/>
  <c r="E71" i="7" s="1"/>
  <c r="F71" i="7" s="1"/>
  <c r="O14" i="2"/>
  <c r="E41" i="7" s="1"/>
  <c r="F41" i="7" s="1"/>
  <c r="M14" i="2"/>
  <c r="E11" i="7" s="1"/>
  <c r="F11" i="7" s="1"/>
  <c r="S13" i="2"/>
  <c r="E100" i="7" s="1"/>
  <c r="F100" i="7" s="1"/>
  <c r="Q13" i="2"/>
  <c r="E70" i="7" s="1"/>
  <c r="F70" i="7" s="1"/>
  <c r="O13" i="2"/>
  <c r="E40" i="7" s="1"/>
  <c r="F40" i="7" s="1"/>
  <c r="M13" i="2"/>
  <c r="E10" i="7" s="1"/>
  <c r="F10" i="7" s="1"/>
  <c r="S12" i="2"/>
  <c r="E99" i="7" s="1"/>
  <c r="F99" i="7" s="1"/>
  <c r="Q12" i="2"/>
  <c r="E69" i="7" s="1"/>
  <c r="F69" i="7" s="1"/>
  <c r="O12" i="2"/>
  <c r="E39" i="7" s="1"/>
  <c r="F39" i="7" s="1"/>
  <c r="M12" i="2"/>
  <c r="E9" i="7" s="1"/>
  <c r="F9" i="7" s="1"/>
  <c r="S11" i="2"/>
  <c r="E98" i="7" s="1"/>
  <c r="F98" i="7" s="1"/>
  <c r="Q11" i="2"/>
  <c r="E68" i="7" s="1"/>
  <c r="F68" i="7" s="1"/>
  <c r="O11" i="2"/>
  <c r="E38" i="7" s="1"/>
  <c r="F38" i="7" s="1"/>
  <c r="M11" i="2"/>
  <c r="E8" i="7" s="1"/>
  <c r="F8" i="7" s="1"/>
  <c r="S10" i="2"/>
  <c r="E97" i="7" s="1"/>
  <c r="F97" i="7" s="1"/>
  <c r="Q10" i="2"/>
  <c r="E67" i="7" s="1"/>
  <c r="F67" i="7" s="1"/>
  <c r="O10" i="2"/>
  <c r="E37" i="7" s="1"/>
  <c r="F37" i="7" s="1"/>
  <c r="M10" i="2"/>
  <c r="E7" i="7" s="1"/>
  <c r="F7" i="7" s="1"/>
  <c r="S9" i="2"/>
  <c r="E96" i="7" s="1"/>
  <c r="F96" i="7" s="1"/>
  <c r="Q9" i="2"/>
  <c r="E66" i="7" s="1"/>
  <c r="F66" i="7" s="1"/>
  <c r="O9" i="2"/>
  <c r="E36" i="7" s="1"/>
  <c r="F36" i="7" s="1"/>
  <c r="M9" i="2"/>
  <c r="E6" i="7" s="1"/>
  <c r="F6" i="7" s="1"/>
  <c r="S8" i="2"/>
  <c r="E95" i="7" s="1"/>
  <c r="F95" i="7" s="1"/>
  <c r="Q8" i="2"/>
  <c r="E65" i="7" s="1"/>
  <c r="F65" i="7" s="1"/>
  <c r="O8" i="2"/>
  <c r="E35" i="7" s="1"/>
  <c r="F35" i="7" s="1"/>
  <c r="M8" i="2"/>
  <c r="E5" i="7" s="1"/>
  <c r="F5" i="7" s="1"/>
  <c r="S7" i="2"/>
  <c r="E94" i="7" s="1"/>
  <c r="F94" i="7" s="1"/>
  <c r="Q7" i="2"/>
  <c r="E64" i="7" s="1"/>
  <c r="F64" i="7" s="1"/>
  <c r="O7" i="2"/>
  <c r="E34" i="7" s="1"/>
  <c r="F34" i="7" s="1"/>
  <c r="M7" i="2"/>
  <c r="E4" i="7" s="1"/>
  <c r="F4" i="7" s="1"/>
  <c r="S6" i="2"/>
  <c r="E93" i="7" s="1"/>
  <c r="F93" i="7" s="1"/>
  <c r="Q6" i="2"/>
  <c r="E63" i="7" s="1"/>
  <c r="F63" i="7" s="1"/>
  <c r="O6" i="2"/>
  <c r="E33" i="7" s="1"/>
  <c r="F33" i="7" s="1"/>
  <c r="M6" i="2"/>
  <c r="E3" i="7" s="1"/>
  <c r="F3" i="7" s="1"/>
  <c r="S5" i="2"/>
  <c r="E92" i="7" s="1"/>
  <c r="F92" i="7" s="1"/>
  <c r="Q5" i="2"/>
  <c r="E62" i="7" s="1"/>
  <c r="F62" i="7" s="1"/>
  <c r="O5" i="2"/>
  <c r="E32" i="7" s="1"/>
  <c r="F32" i="7" s="1"/>
  <c r="M5" i="2"/>
  <c r="E2" i="7" s="1"/>
  <c r="F2" i="7" s="1"/>
  <c r="T2" i="2"/>
  <c r="B25" i="1"/>
  <c r="B24" i="1"/>
  <c r="B22" i="1"/>
  <c r="B21" i="1"/>
  <c r="B20" i="1"/>
  <c r="B19" i="1"/>
  <c r="I5" i="1"/>
  <c r="G5" i="1"/>
  <c r="E5" i="1"/>
  <c r="C5" i="1"/>
  <c r="A5" i="1"/>
  <c r="E2" i="1"/>
  <c r="G13" i="1" l="1"/>
  <c r="G9" i="1"/>
  <c r="G15" i="1"/>
  <c r="G11" i="1"/>
  <c r="G12" i="1"/>
  <c r="G14" i="1"/>
  <c r="G10" i="1"/>
  <c r="E15" i="1" l="1"/>
  <c r="A15" i="1"/>
  <c r="C15" i="1"/>
  <c r="F15" i="1"/>
  <c r="B15" i="1"/>
  <c r="D15" i="1"/>
  <c r="D14" i="1"/>
  <c r="F14" i="1"/>
  <c r="B14" i="1"/>
  <c r="E14" i="1"/>
  <c r="A14" i="1"/>
  <c r="C14" i="1"/>
  <c r="C9" i="1"/>
  <c r="E9" i="1"/>
  <c r="A9" i="1"/>
  <c r="D9" i="1"/>
  <c r="F9" i="1"/>
  <c r="B9" i="1"/>
  <c r="E11" i="1"/>
  <c r="A11" i="1"/>
  <c r="C11" i="1"/>
  <c r="F11" i="1"/>
  <c r="B11" i="1"/>
  <c r="D11" i="1"/>
  <c r="D10" i="1"/>
  <c r="F10" i="1"/>
  <c r="B10" i="1"/>
  <c r="E10" i="1"/>
  <c r="A10" i="1"/>
  <c r="C10" i="1"/>
  <c r="F12" i="1"/>
  <c r="B12" i="1"/>
  <c r="D12" i="1"/>
  <c r="C12" i="1"/>
  <c r="E12" i="1"/>
  <c r="A12" i="1"/>
  <c r="C13" i="1"/>
  <c r="E13" i="1"/>
  <c r="A13" i="1"/>
  <c r="D13" i="1"/>
  <c r="F13" i="1"/>
  <c r="B13" i="1"/>
</calcChain>
</file>

<file path=xl/sharedStrings.xml><?xml version="1.0" encoding="utf-8"?>
<sst xmlns="http://schemas.openxmlformats.org/spreadsheetml/2006/main" count="884" uniqueCount="383">
  <si>
    <t>لوحة معلومات أسطول المركبات - فرع الدمام</t>
  </si>
  <si>
    <t>تاريخ آخر تحديث:</t>
  </si>
  <si>
    <t>تاريخ اليوم:</t>
  </si>
  <si>
    <t>إجمالي عدد السائقين</t>
  </si>
  <si>
    <t>عدد الموصلين</t>
  </si>
  <si>
    <t>عدد الموزعين</t>
  </si>
  <si>
    <t>سائقون في إجازة</t>
  </si>
  <si>
    <t>مركبات أسبير/معطلة</t>
  </si>
  <si>
    <t>⚠ المستندات التي تنتهي خلال 30 يومًا أو منتهية</t>
  </si>
  <si>
    <t>م</t>
  </si>
  <si>
    <t>الاسم</t>
  </si>
  <si>
    <t>رقم اللوحة</t>
  </si>
  <si>
    <t>نوع المستند</t>
  </si>
  <si>
    <t>تاريخ الانتهاء</t>
  </si>
  <si>
    <t>الأيام المتبقية</t>
  </si>
  <si>
    <t>موصل</t>
  </si>
  <si>
    <t>موزع</t>
  </si>
  <si>
    <t>ايسوزو دينا</t>
  </si>
  <si>
    <t>ايسوزو لوري</t>
  </si>
  <si>
    <t>متسوبيشي دينا</t>
  </si>
  <si>
    <t>متسوبيشي لوري</t>
  </si>
  <si>
    <t>هينو  دينا</t>
  </si>
  <si>
    <t xml:space="preserve">   اعداد / ادارة قسم الحركة</t>
  </si>
  <si>
    <t>جدول تحديث المركبات والسائقين الأسبوعي (النقل العام) - فرع الدمام 2026</t>
  </si>
  <si>
    <t>الرقم الوظيفي</t>
  </si>
  <si>
    <t>اسم السائق</t>
  </si>
  <si>
    <t>رقم الإقامة</t>
  </si>
  <si>
    <t>الوظيفة</t>
  </si>
  <si>
    <t>الموديل</t>
  </si>
  <si>
    <t>نوع المركبة</t>
  </si>
  <si>
    <t>عدد الطبالي</t>
  </si>
  <si>
    <t>الحمولة</t>
  </si>
  <si>
    <t>الرقم التسلسلي</t>
  </si>
  <si>
    <t>تاريخ انتهاء الفحص الدوري</t>
  </si>
  <si>
    <t>تاريخ انتهاء رخصة السير</t>
  </si>
  <si>
    <t>تاريخ انتهاء بطاقة السائق</t>
  </si>
  <si>
    <t>تاريخ انتهاء بطاقة التشغيل</t>
  </si>
  <si>
    <t>الملاحظات</t>
  </si>
  <si>
    <t>رقم الجوال</t>
  </si>
  <si>
    <t>شمون مياه ادريس مياه</t>
  </si>
  <si>
    <t>ا س م  8013</t>
  </si>
  <si>
    <t>لا يوجد</t>
  </si>
  <si>
    <t>مد سيف</t>
  </si>
  <si>
    <t>أ س م 8025</t>
  </si>
  <si>
    <t xml:space="preserve">لا يوجد </t>
  </si>
  <si>
    <t>محمد عبدالصبور عبدالعزيز</t>
  </si>
  <si>
    <t>ا س م 8024</t>
  </si>
  <si>
    <t>كابيل مياه</t>
  </si>
  <si>
    <t>ا س ح  8714</t>
  </si>
  <si>
    <t>لم يتم التجديد -اصدار رخصة نقل ثقيل</t>
  </si>
  <si>
    <t>تنفير حسين</t>
  </si>
  <si>
    <t>ا ر ع  2234</t>
  </si>
  <si>
    <t>لايوجد</t>
  </si>
  <si>
    <t>محمد مصلح حمادي محسن</t>
  </si>
  <si>
    <t>ا ر و 4140</t>
  </si>
  <si>
    <t>مارييل فينود</t>
  </si>
  <si>
    <t>ا س  8015</t>
  </si>
  <si>
    <t>محمد يونس</t>
  </si>
  <si>
    <t>ا س ق 7776</t>
  </si>
  <si>
    <t>ابراهيم محمد ابوزيد محمد</t>
  </si>
  <si>
    <t>ا ر ع 2232</t>
  </si>
  <si>
    <t>انفير كاريماري عمير</t>
  </si>
  <si>
    <t>أ س ر 8873</t>
  </si>
  <si>
    <t>ارجوان</t>
  </si>
  <si>
    <t>ا س م 8033</t>
  </si>
  <si>
    <t>اجيت راجا</t>
  </si>
  <si>
    <t>ا ر و 4084</t>
  </si>
  <si>
    <t>سليم اختر محمد</t>
  </si>
  <si>
    <t>ا س ح 8670</t>
  </si>
  <si>
    <t>احمد رشوان</t>
  </si>
  <si>
    <t>ا ص ق 6853</t>
  </si>
  <si>
    <t>اسف باث شوهل</t>
  </si>
  <si>
    <t>ا س ح  8717</t>
  </si>
  <si>
    <t>فالق سجاد سجاد</t>
  </si>
  <si>
    <t>ا س م 8029</t>
  </si>
  <si>
    <t>موزيد خان</t>
  </si>
  <si>
    <t>ا س ل 8850</t>
  </si>
  <si>
    <t>بسام علي احمد الجلال</t>
  </si>
  <si>
    <t>ا س م 8023</t>
  </si>
  <si>
    <t>كرم ابو الهدى صادق</t>
  </si>
  <si>
    <t>ا ر و  4071</t>
  </si>
  <si>
    <t>مران حسين مد تارو</t>
  </si>
  <si>
    <t>ا س م 8031</t>
  </si>
  <si>
    <t>محمد عبدالحميد محمد</t>
  </si>
  <si>
    <t>ا س م  8035</t>
  </si>
  <si>
    <t>احمد عبدالصبور رشوان</t>
  </si>
  <si>
    <t>ا س م  8021</t>
  </si>
  <si>
    <t>انصار الم</t>
  </si>
  <si>
    <t>ا ر و  4139</t>
  </si>
  <si>
    <t>شندان دبينات</t>
  </si>
  <si>
    <t>ا ر و 4141</t>
  </si>
  <si>
    <t>علي محمد ابوزيد محمد</t>
  </si>
  <si>
    <t>ا ر ع 2240</t>
  </si>
  <si>
    <t>شوكت علي</t>
  </si>
  <si>
    <t>ا س ق 7920</t>
  </si>
  <si>
    <t>انال كومار</t>
  </si>
  <si>
    <t>ا س ح 8715</t>
  </si>
  <si>
    <t>احمد دنقل</t>
  </si>
  <si>
    <t>ا ص ا 7810</t>
  </si>
  <si>
    <t>محمد عبدالرحمن السيد المندوه</t>
  </si>
  <si>
    <t>أ ص ق 6855</t>
  </si>
  <si>
    <t>تاريخ الميلاد</t>
  </si>
  <si>
    <t>احمد رضا فتوح العليمى</t>
  </si>
  <si>
    <t>2431684956</t>
  </si>
  <si>
    <t>1994-09-05</t>
  </si>
  <si>
    <t>النور علي</t>
  </si>
  <si>
    <t>2553134111</t>
  </si>
  <si>
    <t>1997-10-27</t>
  </si>
  <si>
    <t>مانودينغ ديلوسان راسيد</t>
  </si>
  <si>
    <t>2515391890</t>
  </si>
  <si>
    <t>1990-11-13</t>
  </si>
  <si>
    <t>محمد باشا</t>
  </si>
  <si>
    <t>2402596973</t>
  </si>
  <si>
    <t>1985-04-03</t>
  </si>
  <si>
    <t>جيفري كريس</t>
  </si>
  <si>
    <t>2427982562</t>
  </si>
  <si>
    <t>1987-08-27</t>
  </si>
  <si>
    <t>امين عبدالله احمد العاقل</t>
  </si>
  <si>
    <t>2192810774</t>
  </si>
  <si>
    <t>1980-01-01</t>
  </si>
  <si>
    <t>حمداني كومفا ليميغاس</t>
  </si>
  <si>
    <t>2553132479</t>
  </si>
  <si>
    <t>1996-12-26</t>
  </si>
  <si>
    <t>محمد عاطف محمد محمد</t>
  </si>
  <si>
    <t>2460016781</t>
  </si>
  <si>
    <t>1988-11-28</t>
  </si>
  <si>
    <t>حسام الدين محمد على ابوالمجد</t>
  </si>
  <si>
    <t>2459346280</t>
  </si>
  <si>
    <t>1980-07-28</t>
  </si>
  <si>
    <t>حسين مياه</t>
  </si>
  <si>
    <t>2505074399</t>
  </si>
  <si>
    <t>1999-01-01</t>
  </si>
  <si>
    <t>مأمون مياه</t>
  </si>
  <si>
    <t>2508752892</t>
  </si>
  <si>
    <t>1990-04-19</t>
  </si>
  <si>
    <t>عمر سمان ناتانكوف</t>
  </si>
  <si>
    <t>2515391718</t>
  </si>
  <si>
    <t>1989-03-12</t>
  </si>
  <si>
    <t>بسام علي احمد عبده الجلال</t>
  </si>
  <si>
    <t>2537417152</t>
  </si>
  <si>
    <t>2000-01-05</t>
  </si>
  <si>
    <t>2536883693</t>
  </si>
  <si>
    <t>2000-06-06</t>
  </si>
  <si>
    <t>أنصار ألم</t>
  </si>
  <si>
    <t>2512564010</t>
  </si>
  <si>
    <t>1988-03-05</t>
  </si>
  <si>
    <t>كرم ابوالهدى صادق عبدالكريم</t>
  </si>
  <si>
    <t>2487345031</t>
  </si>
  <si>
    <t>1985-06-06</t>
  </si>
  <si>
    <t>2461544377</t>
  </si>
  <si>
    <t>على محمد ابوزيد محمد</t>
  </si>
  <si>
    <t>2441374739</t>
  </si>
  <si>
    <t>1981-02-01</t>
  </si>
  <si>
    <t>احمد عبدالصبور محمود رشوان</t>
  </si>
  <si>
    <t>2409104953</t>
  </si>
  <si>
    <t>1994-10-17</t>
  </si>
  <si>
    <t>2350147415</t>
  </si>
  <si>
    <t>1975-04-07</t>
  </si>
  <si>
    <t>محمد عبدالصبور عبدالعزيز سلام</t>
  </si>
  <si>
    <t>2283628259</t>
  </si>
  <si>
    <t>1970-10-09</t>
  </si>
  <si>
    <t>علاء عبد النبي رفاعي احمد</t>
  </si>
  <si>
    <t>2327676793</t>
  </si>
  <si>
    <t>1990-01-09</t>
  </si>
  <si>
    <t>موزايد خان</t>
  </si>
  <si>
    <t>2607260698</t>
  </si>
  <si>
    <t>2003-01-02</t>
  </si>
  <si>
    <t>ارجوان ارجوان</t>
  </si>
  <si>
    <t>2530207360</t>
  </si>
  <si>
    <t>1982-07-16</t>
  </si>
  <si>
    <t>عمران حسين مد تارو</t>
  </si>
  <si>
    <t>2505074498</t>
  </si>
  <si>
    <t>1996-02-05</t>
  </si>
  <si>
    <t>مد سيف الاسلام</t>
  </si>
  <si>
    <t>2485516401</t>
  </si>
  <si>
    <t>1997-05-01</t>
  </si>
  <si>
    <t>محمد عبدالنبى رفاعى احمد</t>
  </si>
  <si>
    <t>2468851676</t>
  </si>
  <si>
    <t>1997-05-05</t>
  </si>
  <si>
    <t>محمد عبد الحميد محمد مصطفى</t>
  </si>
  <si>
    <t>2445181585</t>
  </si>
  <si>
    <t>1996-10-16</t>
  </si>
  <si>
    <t>2441077944</t>
  </si>
  <si>
    <t>1994-03-01</t>
  </si>
  <si>
    <t>2253252916</t>
  </si>
  <si>
    <t>1980-05-07</t>
  </si>
  <si>
    <t>2090207859</t>
  </si>
  <si>
    <t>1967-01-01</t>
  </si>
  <si>
    <t>جمال الدين محمد يوسف</t>
  </si>
  <si>
    <t>2465265227</t>
  </si>
  <si>
    <t>1983-07-04</t>
  </si>
  <si>
    <t>كرم جلال الدين عابد عثمان</t>
  </si>
  <si>
    <t>2578319739</t>
  </si>
  <si>
    <t>1974-09-20</t>
  </si>
  <si>
    <t>احمد رشاد محمد شوقى عبد المطلب</t>
  </si>
  <si>
    <t>2533532608</t>
  </si>
  <si>
    <t>1991-07-04</t>
  </si>
  <si>
    <t>كريم عبد المنعم عباس عبد الباسط</t>
  </si>
  <si>
    <t>2516932148</t>
  </si>
  <si>
    <t>1985-09-23</t>
  </si>
  <si>
    <t>محمد انور محمد رحمن</t>
  </si>
  <si>
    <t>2288604610</t>
  </si>
  <si>
    <t>1976-08-05</t>
  </si>
  <si>
    <t>سياي زيب</t>
  </si>
  <si>
    <t>2616718371</t>
  </si>
  <si>
    <t>1999-04-01</t>
  </si>
  <si>
    <t>مهتاب الطاف الطاف احمد</t>
  </si>
  <si>
    <t>2347224004</t>
  </si>
  <si>
    <t>1991-09-12</t>
  </si>
  <si>
    <t>محمد حسن عبد الرحمن السيد</t>
  </si>
  <si>
    <t>2494382019</t>
  </si>
  <si>
    <t>1982-12-21</t>
  </si>
  <si>
    <t>أشرف كمال كامل هريدي</t>
  </si>
  <si>
    <t>2342453558</t>
  </si>
  <si>
    <t>1971-01-01</t>
  </si>
  <si>
    <t>احمد محمد زكى شعلان</t>
  </si>
  <si>
    <t>2596889713</t>
  </si>
  <si>
    <t>1979-10-25</t>
  </si>
  <si>
    <t>محمد تنوير</t>
  </si>
  <si>
    <t>2207767803</t>
  </si>
  <si>
    <t>1976-10-05</t>
  </si>
  <si>
    <t>محمد محمود محمد ابو الحسن</t>
  </si>
  <si>
    <t>2532825581</t>
  </si>
  <si>
    <t>1981-08-29</t>
  </si>
  <si>
    <t>عبد الرحمن محمد سعيد البندارى</t>
  </si>
  <si>
    <t>2519087791</t>
  </si>
  <si>
    <t>1987-04-01</t>
  </si>
  <si>
    <t>ابراهيم يوسف عوض علي</t>
  </si>
  <si>
    <t>2249251576</t>
  </si>
  <si>
    <t>1978-01-03</t>
  </si>
  <si>
    <t>فهاد لومينغ</t>
  </si>
  <si>
    <t>2567970229</t>
  </si>
  <si>
    <t>1998-10-10</t>
  </si>
  <si>
    <t>النور امفوان ساري</t>
  </si>
  <si>
    <t>2515391791</t>
  </si>
  <si>
    <t>1994-11-12</t>
  </si>
  <si>
    <t>نديم فضل سبحان</t>
  </si>
  <si>
    <t>2472649249</t>
  </si>
  <si>
    <t>1988-01-01</t>
  </si>
  <si>
    <t>محمود السيد السعيد مشالى</t>
  </si>
  <si>
    <t>2551568898</t>
  </si>
  <si>
    <t>1981-12-10</t>
  </si>
  <si>
    <t>2550977850</t>
  </si>
  <si>
    <t>1984-06-01</t>
  </si>
  <si>
    <t>2519784710</t>
  </si>
  <si>
    <t>1987-12-20</t>
  </si>
  <si>
    <t>2430898482</t>
  </si>
  <si>
    <t>1981-11-12</t>
  </si>
  <si>
    <t>رفيق اسان</t>
  </si>
  <si>
    <t>2407663372</t>
  </si>
  <si>
    <t>1985-01-26</t>
  </si>
  <si>
    <t>2393652496</t>
  </si>
  <si>
    <t>1985-03-05</t>
  </si>
  <si>
    <t>2325599070</t>
  </si>
  <si>
    <t>1990-12-31</t>
  </si>
  <si>
    <t>2255207751</t>
  </si>
  <si>
    <t>1978-01-01</t>
  </si>
  <si>
    <t>كاتيل مياة مياة</t>
  </si>
  <si>
    <t>2121612820</t>
  </si>
  <si>
    <t>1963-01-01</t>
  </si>
  <si>
    <t>2317876015</t>
  </si>
  <si>
    <t>انال كومار شندكانارا</t>
  </si>
  <si>
    <t>2255854875</t>
  </si>
  <si>
    <t>1977-04-12</t>
  </si>
  <si>
    <t>عبد الرحمن جوده محمد محمود</t>
  </si>
  <si>
    <t>2482824873</t>
  </si>
  <si>
    <t>1987-07-01</t>
  </si>
  <si>
    <t>احمد عبدالصبور محمد دنقل</t>
  </si>
  <si>
    <t>2441375439</t>
  </si>
  <si>
    <t>1991-10-22</t>
  </si>
  <si>
    <t>جدول تحديث المركبات والسائقين الأسبوعي (النقل الخاص) - فرع الدمام 2026</t>
  </si>
  <si>
    <t>مصفف</t>
  </si>
  <si>
    <t>أ و ب 2759</t>
  </si>
  <si>
    <t>بكب غمارتين</t>
  </si>
  <si>
    <t>صالحة</t>
  </si>
  <si>
    <t>ب د ل 7208</t>
  </si>
  <si>
    <t>مندوب جملة</t>
  </si>
  <si>
    <t>ب ب ق 4866</t>
  </si>
  <si>
    <t>أ و ب 2760</t>
  </si>
  <si>
    <t>ب ب ق 4868</t>
  </si>
  <si>
    <t>ميكانيكي</t>
  </si>
  <si>
    <t>أ ر ه 3213</t>
  </si>
  <si>
    <t xml:space="preserve">مندوب جملة </t>
  </si>
  <si>
    <t>ب ط س 3417</t>
  </si>
  <si>
    <t>ب ر ل 3099</t>
  </si>
  <si>
    <t>FAHAD BENASING LOMINOG</t>
  </si>
  <si>
    <t>ب ر ل 3098</t>
  </si>
  <si>
    <t>حسام الدين ابوالمجد</t>
  </si>
  <si>
    <t>ب ص ط 9959</t>
  </si>
  <si>
    <t>بكب غماره</t>
  </si>
  <si>
    <t xml:space="preserve"> سليم - جاهز للعمل</t>
  </si>
  <si>
    <t xml:space="preserve">احمد رشاد </t>
  </si>
  <si>
    <t>محاسب عملاء</t>
  </si>
  <si>
    <t>ح ع ن 2874</t>
  </si>
  <si>
    <t>كورولا</t>
  </si>
  <si>
    <t>كرم جلال الدين</t>
  </si>
  <si>
    <t>مدير مبيعات</t>
  </si>
  <si>
    <t>ر د ب 4650</t>
  </si>
  <si>
    <t>جيب فورتشنر</t>
  </si>
  <si>
    <t>عامل</t>
  </si>
  <si>
    <t>ب ط س 3261</t>
  </si>
  <si>
    <t>عبد الحكيم جمال عبد الحكيم احمد</t>
  </si>
  <si>
    <t>2620311569</t>
  </si>
  <si>
    <t>مندوب جمله</t>
  </si>
  <si>
    <t>ب ط س 3262</t>
  </si>
  <si>
    <t>551887509"</t>
  </si>
  <si>
    <t>ب ط س 3258</t>
  </si>
  <si>
    <t>ب ط س 3259</t>
  </si>
  <si>
    <t>ب ط س3263</t>
  </si>
  <si>
    <t>SHAH ZEB</t>
  </si>
  <si>
    <t>ب ح ل 4436</t>
  </si>
  <si>
    <t>تي 60 بيك اب</t>
  </si>
  <si>
    <t>منسق مبيعات</t>
  </si>
  <si>
    <t>ح ي و 5746</t>
  </si>
  <si>
    <t>سيراتيو</t>
  </si>
  <si>
    <t xml:space="preserve"> سليم - جاهز للعمل </t>
  </si>
  <si>
    <t>أشرف كمال</t>
  </si>
  <si>
    <t>سكرتير</t>
  </si>
  <si>
    <t>ر و د 1693</t>
  </si>
  <si>
    <t>DZIRE</t>
  </si>
  <si>
    <t>-</t>
  </si>
  <si>
    <t>كريم عبد المنعم</t>
  </si>
  <si>
    <t>أ ص ه 6135</t>
  </si>
  <si>
    <t>عبدالرحمن البنداري</t>
  </si>
  <si>
    <t>مشرف جملة</t>
  </si>
  <si>
    <t>ر ل ر 5062</t>
  </si>
  <si>
    <t>ديز اير</t>
  </si>
  <si>
    <t>ر ل ر 5063</t>
  </si>
  <si>
    <t>أبو الحسن</t>
  </si>
  <si>
    <t>ر ل ر 5059</t>
  </si>
  <si>
    <t>مشرف سوبرماركت</t>
  </si>
  <si>
    <t>ر ل ر 5094</t>
  </si>
  <si>
    <t>محمد حسن عبدالرحمن السيد</t>
  </si>
  <si>
    <t>مندوب ماركت</t>
  </si>
  <si>
    <t>س د ي 2475</t>
  </si>
  <si>
    <t>BALENO</t>
  </si>
  <si>
    <t>س د ي 2487</t>
  </si>
  <si>
    <t xml:space="preserve"> 541660773</t>
  </si>
  <si>
    <t>بيان المركبات الأسبير والمعطلة</t>
  </si>
  <si>
    <t>الحالة</t>
  </si>
  <si>
    <t xml:space="preserve">السجل </t>
  </si>
  <si>
    <t>فحص</t>
  </si>
  <si>
    <t>ا س ق 7774</t>
  </si>
  <si>
    <t>لم يتم تجديد بطاقة التشغيل (فحص دوري- صيانة جهاز التتبع)</t>
  </si>
  <si>
    <t>ا س ق 7821</t>
  </si>
  <si>
    <t>اسبير</t>
  </si>
  <si>
    <t>أ س ق 7775</t>
  </si>
  <si>
    <t>تحديد بطاقة التشغيل (صيانة جهاز التتبع)</t>
  </si>
  <si>
    <t>معطلة</t>
  </si>
  <si>
    <t>أ س م 8022</t>
  </si>
  <si>
    <t xml:space="preserve">فحص دوري - استكر - كرت تشغيل  </t>
  </si>
  <si>
    <t>ا ر و 4085</t>
  </si>
  <si>
    <t>جربكس سوء استخدام</t>
  </si>
  <si>
    <t>ا ر ل  5580</t>
  </si>
  <si>
    <t xml:space="preserve">اصلاح صندوق </t>
  </si>
  <si>
    <t>ب ص ب 5125</t>
  </si>
  <si>
    <t>فان</t>
  </si>
  <si>
    <t>د د و 4282</t>
  </si>
  <si>
    <t>اكسنت</t>
  </si>
  <si>
    <t>ب د ل 7207</t>
  </si>
  <si>
    <t xml:space="preserve"> عطل ميكانيكي - مشكلة في المحرك</t>
  </si>
  <si>
    <t>أ ر ه 2769</t>
  </si>
  <si>
    <t>ب أ ب 6953</t>
  </si>
  <si>
    <t>ب ح ل 4434</t>
  </si>
  <si>
    <t>ب ص ب 5129</t>
  </si>
  <si>
    <t>ب س ل 5541</t>
  </si>
  <si>
    <t>غمارتين</t>
  </si>
  <si>
    <t xml:space="preserve"> الهولز الهواء - تم طلب القطع</t>
  </si>
  <si>
    <t>ب ح ه 5088</t>
  </si>
  <si>
    <t>تهريب زيت المكينة</t>
  </si>
  <si>
    <t xml:space="preserve"> رقم 1</t>
  </si>
  <si>
    <t>فوركلفت تويوتا</t>
  </si>
  <si>
    <t xml:space="preserve">عطل في الحذاف وكراسي المكينه وقير طرنبه ديزل </t>
  </si>
  <si>
    <t>السائقون في إجازة</t>
  </si>
  <si>
    <t>سراج ثاندو عبدول</t>
  </si>
  <si>
    <t>منتهي</t>
  </si>
  <si>
    <t>متغيب عن العمل</t>
  </si>
  <si>
    <t>رفيق اسان بيلات</t>
  </si>
  <si>
    <t>محمد عبدالنبي رفاعي احمد</t>
  </si>
  <si>
    <t>الفحص الدوري</t>
  </si>
  <si>
    <t>رخصة السير</t>
  </si>
  <si>
    <t>بطاقة السائق</t>
  </si>
  <si>
    <t>بطاقة التشغيل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</si>
</sst>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yyyy/mm/dd;@"/>
    <numFmt numFmtId="166" formatCode="yyyy\-mm\-dd;@"/>
  </numFmts>
  <fonts count="34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1F3864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1"/>
      <color theme="0"/>
      <name val="FreeSans"/>
      <family val="2"/>
    </font>
    <font>
      <sz val="11"/>
      <color theme="0"/>
      <name val="Calibri"/>
      <family val="2"/>
      <charset val="1"/>
    </font>
    <font>
      <b/>
      <sz val="11"/>
      <color theme="1"/>
      <name val="FreeSans"/>
      <family val="2"/>
    </font>
    <font>
      <b/>
      <sz val="10"/>
      <color rgb="FFFFFFFF"/>
      <name val="Arial"/>
      <family val="2"/>
      <charset val="1"/>
    </font>
    <font>
      <b/>
      <sz val="20"/>
      <color rgb="FF2E5597"/>
      <name val="Arial"/>
      <family val="2"/>
      <charset val="1"/>
    </font>
    <font>
      <b/>
      <sz val="20"/>
      <color rgb="FF2E7D32"/>
      <name val="Arial"/>
      <family val="2"/>
      <charset val="1"/>
    </font>
    <font>
      <b/>
      <sz val="20"/>
      <color rgb="FFC62828"/>
      <name val="Arial"/>
      <family val="2"/>
      <charset val="1"/>
    </font>
    <font>
      <b/>
      <sz val="20"/>
      <color rgb="FF8E24AA"/>
      <name val="Arial"/>
      <family val="2"/>
      <charset val="1"/>
    </font>
    <font>
      <b/>
      <sz val="20"/>
      <color rgb="FFEF6C00"/>
      <name val="Arial"/>
      <family val="2"/>
      <charset val="1"/>
    </font>
    <font>
      <b/>
      <sz val="12"/>
      <color rgb="FFFFFFFF"/>
      <name val="Arial"/>
      <family val="2"/>
      <charset val="1"/>
    </font>
    <font>
      <sz val="10"/>
      <name val="Arial"/>
      <family val="2"/>
      <charset val="1"/>
    </font>
    <font>
      <b/>
      <sz val="11"/>
      <color rgb="FF9C0006"/>
      <name val="Arial"/>
      <family val="2"/>
      <charset val="1"/>
    </font>
    <font>
      <sz val="8"/>
      <color rgb="FFFFFFFF"/>
      <name val="Arial"/>
      <family val="2"/>
      <charset val="1"/>
    </font>
    <font>
      <b/>
      <sz val="11"/>
      <color rgb="FF9C6500"/>
      <name val="Arial"/>
      <family val="2"/>
      <charset val="1"/>
    </font>
    <font>
      <i/>
      <sz val="8"/>
      <color rgb="FF999999"/>
      <name val="Arial"/>
      <family val="2"/>
      <charset val="1"/>
    </font>
    <font>
      <sz val="11"/>
      <color theme="1"/>
      <name val="FreeSans"/>
      <family val="2"/>
    </font>
    <font>
      <i/>
      <sz val="10"/>
      <color rgb="FF7F7F7F"/>
      <name val="FreeSans"/>
      <family val="2"/>
    </font>
    <font>
      <i/>
      <sz val="11"/>
      <color rgb="FF7F7F7F"/>
      <name val="Calibri"/>
      <family val="2"/>
      <charset val="1"/>
    </font>
    <font>
      <i/>
      <sz val="9"/>
      <color rgb="FF808080"/>
      <name val="Arial"/>
      <family val="2"/>
      <charset val="1"/>
    </font>
    <font>
      <b/>
      <sz val="11"/>
      <color rgb="FFFFFFFF"/>
      <name val="Arial"/>
      <family val="2"/>
      <charset val="1"/>
    </font>
    <font>
      <sz val="11"/>
      <name val="Arial"/>
      <family val="2"/>
      <charset val="1"/>
    </font>
    <font>
      <sz val="10"/>
      <color theme="1"/>
      <name val="Arial"/>
      <family val="2"/>
      <charset val="1"/>
    </font>
    <font>
      <sz val="8"/>
      <color theme="1"/>
      <name val="Arial"/>
      <family val="2"/>
      <charset val="178"/>
    </font>
    <font>
      <sz val="10"/>
      <color theme="1"/>
      <name val="Arial"/>
      <family val="2"/>
      <charset val="178"/>
    </font>
    <font>
      <i/>
      <sz val="8"/>
      <color theme="1"/>
      <name val="Arial-ItalicMT"/>
      <charset val="178"/>
    </font>
    <font>
      <sz val="11"/>
      <color theme="1"/>
      <name val="Calibri"/>
      <family val="2"/>
      <charset val="178"/>
    </font>
    <font>
      <b/>
      <sz val="11"/>
      <name val="Arial"/>
      <family val="2"/>
      <charset val="1"/>
    </font>
    <font>
      <sz val="10"/>
      <color rgb="FF9C0006"/>
      <name val="FreeSans"/>
      <family val="2"/>
    </font>
    <font>
      <sz val="11"/>
      <color rgb="FF9C0006"/>
      <name val="Calibri"/>
      <family val="2"/>
      <charset val="1"/>
    </font>
    <font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4"/>
        <bgColor rgb="FF7F7F7F"/>
      </patternFill>
    </fill>
    <fill>
      <patternFill patternType="solid">
        <fgColor theme="6" tint="0.59987182226020086"/>
        <bgColor rgb="FFD9D9D9"/>
      </patternFill>
    </fill>
    <fill>
      <patternFill patternType="solid">
        <fgColor theme="5"/>
        <bgColor rgb="FFC62828"/>
      </patternFill>
    </fill>
    <fill>
      <patternFill patternType="solid">
        <fgColor theme="7" tint="0.79989013336588644"/>
        <bgColor rgb="FFDCE6F2"/>
      </patternFill>
    </fill>
    <fill>
      <patternFill patternType="solid">
        <fgColor theme="4" tint="0.79989013336588644"/>
        <bgColor rgb="FFD9E2F3"/>
      </patternFill>
    </fill>
    <fill>
      <patternFill patternType="solid">
        <fgColor rgb="FFFFC7CE"/>
        <bgColor rgb="FFD9D9D9"/>
      </patternFill>
    </fill>
    <fill>
      <patternFill patternType="solid">
        <fgColor rgb="FF1F3864"/>
        <bgColor rgb="FF404040"/>
      </patternFill>
    </fill>
    <fill>
      <patternFill patternType="solid">
        <fgColor rgb="FFEF6C00"/>
        <bgColor rgb="FFFF9900"/>
      </patternFill>
    </fill>
    <fill>
      <patternFill patternType="solid">
        <fgColor rgb="FFFFFFFF"/>
        <bgColor rgb="FFF9F9F9"/>
      </patternFill>
    </fill>
    <fill>
      <patternFill patternType="solid">
        <fgColor rgb="FFC62828"/>
        <bgColor rgb="FFC0504D"/>
      </patternFill>
    </fill>
    <fill>
      <patternFill patternType="solid">
        <fgColor rgb="FFFFEB9C"/>
        <bgColor rgb="FFD7E4BD"/>
      </patternFill>
    </fill>
    <fill>
      <patternFill patternType="solid">
        <fgColor rgb="FF2E5597"/>
        <bgColor rgb="FF1F3864"/>
      </patternFill>
    </fill>
    <fill>
      <patternFill patternType="solid">
        <fgColor rgb="FFD9E2F3"/>
        <bgColor rgb="FFDCE6F2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8">
    <xf numFmtId="0" fontId="0" fillId="0" borderId="0"/>
    <xf numFmtId="0" fontId="5" fillId="2" borderId="0"/>
    <xf numFmtId="0" fontId="33" fillId="3" borderId="0"/>
    <xf numFmtId="0" fontId="5" fillId="4" borderId="0"/>
    <xf numFmtId="0" fontId="33" fillId="5" borderId="0"/>
    <xf numFmtId="0" fontId="33" fillId="6" borderId="0"/>
    <xf numFmtId="0" fontId="21" fillId="0" borderId="0"/>
    <xf numFmtId="0" fontId="32" fillId="7" borderId="0"/>
  </cellStyleXfs>
  <cellXfs count="69"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0" fontId="4" fillId="2" borderId="2" xfId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6" fillId="0" borderId="0" xfId="0" applyFont="1"/>
    <xf numFmtId="0" fontId="17" fillId="12" borderId="2" xfId="0" applyFont="1" applyFill="1" applyBorder="1" applyAlignment="1">
      <alignment horizontal="center" vertical="center" wrapText="1"/>
    </xf>
    <xf numFmtId="0" fontId="18" fillId="0" borderId="0" xfId="0" applyFont="1"/>
    <xf numFmtId="0" fontId="19" fillId="6" borderId="3" xfId="5" applyFont="1" applyBorder="1"/>
    <xf numFmtId="0" fontId="20" fillId="10" borderId="0" xfId="6" applyFont="1" applyFill="1"/>
    <xf numFmtId="0" fontId="22" fillId="0" borderId="0" xfId="0" applyFont="1"/>
    <xf numFmtId="0" fontId="23" fillId="13" borderId="2" xfId="0" applyFont="1" applyFill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23" fillId="13" borderId="5" xfId="0" applyFont="1" applyFill="1" applyBorder="1" applyAlignment="1">
      <alignment horizontal="center" vertical="center" wrapText="1"/>
    </xf>
    <xf numFmtId="165" fontId="23" fillId="13" borderId="5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166" fontId="25" fillId="0" borderId="6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wrapText="1"/>
    </xf>
    <xf numFmtId="49" fontId="27" fillId="0" borderId="0" xfId="0" applyNumberFormat="1" applyFont="1" applyAlignment="1">
      <alignment horizontal="center" vertical="center" wrapText="1" readingOrder="2"/>
    </xf>
    <xf numFmtId="49" fontId="27" fillId="0" borderId="0" xfId="0" applyNumberFormat="1" applyFont="1" applyAlignment="1">
      <alignment horizontal="center" vertical="center" wrapText="1" readingOrder="1"/>
    </xf>
    <xf numFmtId="164" fontId="27" fillId="0" borderId="0" xfId="0" applyNumberFormat="1" applyFont="1" applyAlignment="1">
      <alignment horizontal="center" vertical="center" readingOrder="1"/>
    </xf>
    <xf numFmtId="0" fontId="27" fillId="0" borderId="0" xfId="0" applyFont="1" applyAlignment="1">
      <alignment horizontal="center" vertical="center" wrapText="1"/>
    </xf>
    <xf numFmtId="49" fontId="25" fillId="0" borderId="0" xfId="0" applyNumberFormat="1" applyFont="1" applyAlignment="1">
      <alignment horizontal="center" vertical="center" wrapText="1"/>
    </xf>
    <xf numFmtId="49" fontId="27" fillId="0" borderId="0" xfId="0" applyNumberFormat="1" applyFont="1" applyAlignment="1">
      <alignment horizontal="center" vertical="center" readingOrder="2"/>
    </xf>
    <xf numFmtId="0" fontId="25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/>
    </xf>
    <xf numFmtId="49" fontId="27" fillId="0" borderId="0" xfId="0" applyNumberFormat="1" applyFont="1" applyAlignment="1">
      <alignment horizontal="center" vertical="center" readingOrder="1"/>
    </xf>
    <xf numFmtId="0" fontId="30" fillId="12" borderId="2" xfId="0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9" fillId="0" borderId="0" xfId="0" applyFont="1"/>
    <xf numFmtId="0" fontId="31" fillId="7" borderId="2" xfId="7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25" fillId="0" borderId="0" xfId="0" applyNumberFormat="1" applyFont="1" applyAlignment="1">
      <alignment horizontal="center" vertical="center" readingOrder="2"/>
    </xf>
    <xf numFmtId="49" fontId="25" fillId="0" borderId="0" xfId="0" applyNumberFormat="1" applyFont="1" applyAlignment="1">
      <alignment horizontal="center" vertical="center" readingOrder="1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0" xfId="0"/>
    <xf numFmtId="0" fontId="14" fillId="0" borderId="5" xfId="0" applyFont="1" applyBorder="1" applyAlignment="1">
      <alignment horizontal="center" vertical="center" wrapText="1"/>
    </xf>
    <xf numFmtId="0" fontId="23" fillId="13" borderId="0" xfId="0" applyFont="1" applyFill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30" fillId="14" borderId="8" xfId="0" applyFont="1" applyFill="1" applyBorder="1" applyAlignment="1">
      <alignment horizontal="center" vertical="center" wrapText="1"/>
    </xf>
    <xf numFmtId="164" fontId="14" fillId="0" borderId="8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0" fillId="14" borderId="0" xfId="0" applyFont="1" applyFill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" fillId="8" borderId="0" xfId="0" applyFont="1" applyFill="1" applyAlignment="1">
      <alignment horizontal="center" vertical="center" wrapText="1"/>
    </xf>
    <xf numFmtId="0" fontId="0" fillId="0" borderId="0" xfId="0"/>
    <xf numFmtId="0" fontId="9" fillId="10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8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6" fillId="3" borderId="1" xfId="2" applyFont="1" applyBorder="1" applyAlignment="1">
      <alignment horizontal="center" vertical="center" wrapText="1"/>
    </xf>
    <xf numFmtId="0" fontId="4" fillId="2" borderId="1" xfId="1" applyFont="1" applyBorder="1" applyAlignment="1">
      <alignment horizontal="center" vertical="center" wrapText="1"/>
    </xf>
    <xf numFmtId="0" fontId="6" fillId="5" borderId="1" xfId="4" applyFont="1" applyBorder="1" applyAlignment="1">
      <alignment horizontal="center" vertical="center" wrapText="1"/>
    </xf>
    <xf numFmtId="0" fontId="4" fillId="4" borderId="1" xfId="3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2" fillId="0" borderId="0" xfId="0" applyFont="1"/>
  </cellXfs>
  <cellStyles count="8">
    <cellStyle name="Excel Built-in 20% - Accent1" xfId="5"/>
    <cellStyle name="Excel Built-in 20% - Accent4" xfId="4"/>
    <cellStyle name="Excel Built-in 40% - Accent3" xfId="2"/>
    <cellStyle name="Excel Built-in Accent1" xfId="1"/>
    <cellStyle name="Excel Built-in Accent2" xfId="3"/>
    <cellStyle name="Excel Built-in Bad" xfId="7"/>
    <cellStyle name="Excel Built-in Explanatory Text" xfId="6"/>
    <cellStyle name="Normal" xfId="0" builtinId="0"/>
  </cellStyles>
  <dxfs count="23"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color rgb="FF006100"/>
        <name val="Arial"/>
      </font>
      <fill>
        <patternFill>
          <bgColor rgb="FFC6EFCE"/>
        </patternFill>
      </fill>
    </dxf>
    <dxf>
      <font>
        <color rgb="FF9C6500"/>
        <name val="Arial"/>
      </font>
      <fill>
        <patternFill>
          <bgColor rgb="FFFFEB9C"/>
        </patternFill>
      </fill>
    </dxf>
    <dxf>
      <font>
        <color rgb="FF9C0006"/>
        <name val="Arial"/>
      </font>
      <fill>
        <patternFill>
          <bgColor rgb="FFFFC7CE"/>
        </patternFill>
      </fill>
    </dxf>
    <dxf>
      <font>
        <b/>
        <color rgb="FF9C6500"/>
        <name val="Arial"/>
      </font>
      <fill>
        <patternFill>
          <bgColor rgb="FFFFEB9C"/>
        </patternFill>
      </fill>
    </dxf>
    <dxf>
      <font>
        <b/>
        <color rgb="FF9C0006"/>
        <name val="Arial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7F7F7F"/>
      <rgbColor rgb="FFBFBFBF"/>
      <rgbColor rgb="FF808080"/>
      <rgbColor rgb="FFB0B0B0"/>
      <rgbColor rgb="FF8E24AA"/>
      <rgbColor rgb="FFF9F9F9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D7E4BD"/>
      <rgbColor rgb="FFE6E0EC"/>
      <rgbColor rgb="FF878787"/>
      <rgbColor rgb="FFFFC7CE"/>
      <rgbColor rgb="FF4F81BD"/>
      <rgbColor rgb="FF33CCCC"/>
      <rgbColor rgb="FF99CC00"/>
      <rgbColor rgb="FFFFCC00"/>
      <rgbColor rgb="FFFF9900"/>
      <rgbColor rgb="FFEF6C00"/>
      <rgbColor rgb="FF595959"/>
      <rgbColor rgb="FF999999"/>
      <rgbColor rgb="FF1F3864"/>
      <rgbColor rgb="FF2E7D32"/>
      <rgbColor rgb="FF003300"/>
      <rgbColor rgb="FF333300"/>
      <rgbColor rgb="FFC62828"/>
      <rgbColor rgb="FFC0504D"/>
      <rgbColor rgb="FF2E5597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ar-SA" sz="1400" b="0" strike="noStrike" spc="-1">
                <a:solidFill>
                  <a:srgbClr val="595959"/>
                </a:solidFill>
                <a:latin typeface="Calibri"/>
              </a:rPr>
              <a:t>توزيع السائقين: موصل / موزع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EB8F-404D-AC21-848E3299FCF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9080">
                <a:solidFill>
                  <a:srgbClr val="FFFFFF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EB8F-404D-AC21-848E3299FCF8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B8F-404D-AC21-848E3299FCF8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B8F-404D-AC21-848E3299FCF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'لوحة المعلومات'!$A$19:$A$20</c:f>
              <c:strCache>
                <c:ptCount val="2"/>
                <c:pt idx="0">
                  <c:v>موصل</c:v>
                </c:pt>
                <c:pt idx="1">
                  <c:v>موزع</c:v>
                </c:pt>
              </c:strCache>
            </c:strRef>
          </c:cat>
          <c:val>
            <c:numRef>
              <c:f>'لوحة المعلومات'!$B$19:$B$20</c:f>
              <c:numCache>
                <c:formatCode>General</c:formatCode>
                <c:ptCount val="2"/>
                <c:pt idx="0">
                  <c:v>17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8F-404D-AC21-848E3299F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عدد المركبات حسب النوع</a:t>
            </a: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'لوحة المعلومات'!$A$21:$A$25</c:f>
              <c:strCache>
                <c:ptCount val="5"/>
                <c:pt idx="0">
                  <c:v>ايسوزو دينا</c:v>
                </c:pt>
                <c:pt idx="1">
                  <c:v>ايسوزو لوري</c:v>
                </c:pt>
                <c:pt idx="2">
                  <c:v>متسوبيشي دينا</c:v>
                </c:pt>
                <c:pt idx="3">
                  <c:v>متسوبيشي لوري</c:v>
                </c:pt>
                <c:pt idx="4">
                  <c:v>هينو  دينا</c:v>
                </c:pt>
              </c:strCache>
            </c:strRef>
          </c:cat>
          <c:val>
            <c:numRef>
              <c:f>'لوحة المعلومات'!$B$21:$B$25</c:f>
              <c:numCache>
                <c:formatCode>General</c:formatCode>
                <c:ptCount val="5"/>
                <c:pt idx="0">
                  <c:v>4</c:v>
                </c:pt>
                <c:pt idx="1">
                  <c:v>13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93-45AE-8873-8D3A32F10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51267"/>
        <c:axId val="29786901"/>
      </c:barChart>
      <c:catAx>
        <c:axId val="168512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786901"/>
        <c:crosses val="autoZero"/>
        <c:auto val="1"/>
        <c:lblAlgn val="ctr"/>
        <c:lblOffset val="100"/>
        <c:noMultiLvlLbl val="0"/>
      </c:catAx>
      <c:valAx>
        <c:axId val="29786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851267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161520</xdr:colOff>
      <xdr:row>7</xdr:row>
      <xdr:rowOff>104895</xdr:rowOff>
    </xdr:from>
    <xdr:to>
      <xdr:col>9</xdr:col>
      <xdr:colOff>494520</xdr:colOff>
      <xdr:row>18</xdr:row>
      <xdr:rowOff>123615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143250</xdr:colOff>
      <xdr:row>16</xdr:row>
      <xdr:rowOff>76065</xdr:rowOff>
    </xdr:from>
    <xdr:to>
      <xdr:col>5</xdr:col>
      <xdr:colOff>1728690</xdr:colOff>
      <xdr:row>29</xdr:row>
      <xdr:rowOff>118905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showGridLines="0" rightToLeft="1" zoomScaleNormal="100" workbookViewId="0">
      <selection activeCell="A29" sqref="A29"/>
    </sheetView>
  </sheetViews>
  <sheetFormatPr defaultColWidth="8.7109375" defaultRowHeight="15"/>
  <cols>
    <col min="1" max="1" width="17.7109375" style="44" customWidth="1"/>
    <col min="2" max="2" width="24" style="44" customWidth="1"/>
    <col min="3" max="3" width="13" style="44" customWidth="1"/>
    <col min="4" max="4" width="15" style="44" customWidth="1"/>
    <col min="5" max="5" width="14" style="44" customWidth="1"/>
    <col min="6" max="6" width="26" style="44" customWidth="1"/>
    <col min="7" max="7" width="14.140625" style="44" customWidth="1"/>
    <col min="8" max="8" width="11" style="44" customWidth="1"/>
    <col min="10" max="10" width="11" style="44" customWidth="1"/>
  </cols>
  <sheetData>
    <row r="1" spans="1:12" ht="30" customHeight="1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15.75" customHeight="1">
      <c r="A2" s="53" t="s">
        <v>1</v>
      </c>
      <c r="B2" s="1">
        <v>46194</v>
      </c>
      <c r="D2" s="53" t="s">
        <v>2</v>
      </c>
      <c r="E2" s="2">
        <f ca="1">TODAY()</f>
        <v>46261</v>
      </c>
    </row>
    <row r="4" spans="1:12" ht="15" customHeight="1">
      <c r="A4" s="63" t="s">
        <v>3</v>
      </c>
      <c r="B4" s="57"/>
      <c r="C4" s="62" t="s">
        <v>4</v>
      </c>
      <c r="D4" s="57"/>
      <c r="E4" s="65" t="s">
        <v>5</v>
      </c>
      <c r="F4" s="57"/>
      <c r="G4" s="64" t="s">
        <v>6</v>
      </c>
      <c r="H4" s="57"/>
      <c r="I4" s="66" t="s">
        <v>7</v>
      </c>
      <c r="J4" s="57"/>
    </row>
    <row r="5" spans="1:12" ht="31.5" customHeight="1">
      <c r="A5" s="58">
        <f>COUNTA('سجل النقل'!B5:B33)+COUNTA('سجل الخاص'!B5:B31)</f>
        <v>56</v>
      </c>
      <c r="B5" s="57"/>
      <c r="C5" s="56">
        <f>COUNTIF('سجل النقل'!E5:E33,"موصل")</f>
        <v>17</v>
      </c>
      <c r="D5" s="57"/>
      <c r="E5" s="60">
        <f>COUNTIF('سجل النقل'!E5:E33,"موزع")</f>
        <v>12</v>
      </c>
      <c r="F5" s="57"/>
      <c r="G5" s="59">
        <f>COUNTA('السائقون في إجازة'!B4:B5)</f>
        <v>2</v>
      </c>
      <c r="H5" s="57"/>
      <c r="I5" s="61">
        <f>COUNTA('الأسبير والمعطلة'!A4:A19)</f>
        <v>16</v>
      </c>
      <c r="J5" s="57"/>
    </row>
    <row r="7" spans="1:12" ht="24" customHeight="1">
      <c r="A7" s="67" t="s">
        <v>8</v>
      </c>
      <c r="B7" s="55"/>
      <c r="C7" s="55"/>
      <c r="D7" s="55"/>
      <c r="E7" s="55"/>
      <c r="F7" s="55"/>
      <c r="G7" s="55"/>
      <c r="H7" s="55"/>
    </row>
    <row r="8" spans="1:12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</row>
    <row r="9" spans="1:12">
      <c r="A9" s="4">
        <f ca="1">IF($G9="","",1)</f>
        <v>1</v>
      </c>
      <c r="B9" s="4" t="str">
        <f ca="1">IF($G9="","",INDEX(بيانات_الربط!$A$2:$A$175,MATCH($G9,بيانات_الربط!$F$2:$F$175,0)))</f>
        <v>جيفري كريس</v>
      </c>
      <c r="C9" s="4" t="str">
        <f ca="1">IF($G9="","",INDEX(بيانات_الربط!$B$2:$B$175,MATCH($G9,بيانات_الربط!$F$2:$F$175,0)))</f>
        <v>أ و ب 2759</v>
      </c>
      <c r="D9" s="4" t="str">
        <f ca="1">IF($G9="","",INDEX(بيانات_الربط!$C$2:$C$175,MATCH($G9,بيانات_الربط!$F$2:$F$175,0)))</f>
        <v>رخصة السير</v>
      </c>
      <c r="E9" s="5">
        <f ca="1">IF($G9="","",INDEX(بيانات_الربط!$D$2:$D$175,MATCH($G9,بيانات_الربط!$F$2:$F$175,0)))</f>
        <v>45970</v>
      </c>
      <c r="F9" s="6">
        <f ca="1">IF($G9="","",INDEX(بيانات_الربط!$E$2:$E$175,MATCH($G9,بيانات_الربط!$F$2:$F$175,0)))</f>
        <v>-291</v>
      </c>
      <c r="G9" s="7">
        <f ca="1">IFERROR(SMALL(بيانات_الربط!$F$2:$F$175,1),"")</f>
        <v>-290.99851000000001</v>
      </c>
    </row>
    <row r="10" spans="1:12">
      <c r="A10" s="4">
        <f ca="1">IF($G10="","",2)</f>
        <v>2</v>
      </c>
      <c r="B10" s="4" t="str">
        <f ca="1">IF($G10="","",INDEX(بيانات_الربط!$A$2:$A$175,MATCH($G10,بيانات_الربط!$F$2:$F$175,0)))</f>
        <v>حسام الدين ابوالمجد</v>
      </c>
      <c r="C10" s="4" t="str">
        <f ca="1">IF($G10="","",INDEX(بيانات_الربط!$B$2:$B$175,MATCH($G10,بيانات_الربط!$F$2:$F$175,0)))</f>
        <v>ب ص ط 9959</v>
      </c>
      <c r="D10" s="4" t="str">
        <f ca="1">IF($G10="","",INDEX(بيانات_الربط!$C$2:$C$175,MATCH($G10,بيانات_الربط!$F$2:$F$175,0)))</f>
        <v>الفحص الدوري</v>
      </c>
      <c r="E10" s="5">
        <f ca="1">IF($G10="","",INDEX(بيانات_الربط!$D$2:$D$175,MATCH($G10,بيانات_الربط!$F$2:$F$175,0)))</f>
        <v>46177</v>
      </c>
      <c r="F10" s="6">
        <f ca="1">IF($G10="","",INDEX(بيانات_الربط!$E$2:$E$175,MATCH($G10,بيانات_الربط!$F$2:$F$175,0)))</f>
        <v>-84</v>
      </c>
      <c r="G10" s="7">
        <f ca="1">IFERROR(SMALL(بيانات_الربط!$F$2:$F$175,2),"")</f>
        <v>-83.998689999999996</v>
      </c>
    </row>
    <row r="11" spans="1:12">
      <c r="A11" s="4">
        <f ca="1">IF($G11="","",3)</f>
        <v>3</v>
      </c>
      <c r="B11" s="4" t="str">
        <f ca="1">IF($G11="","",INDEX(بيانات_الربط!$A$2:$A$175,MATCH($G11,بيانات_الربط!$F$2:$F$175,0)))</f>
        <v>كابيل مياه</v>
      </c>
      <c r="C11" s="4" t="str">
        <f ca="1">IF($G11="","",INDEX(بيانات_الربط!$B$2:$B$175,MATCH($G11,بيانات_الربط!$F$2:$F$175,0)))</f>
        <v>ا س ح  8714</v>
      </c>
      <c r="D11" s="4" t="str">
        <f ca="1">IF($G11="","",INDEX(بيانات_الربط!$C$2:$C$175,MATCH($G11,بيانات_الربط!$F$2:$F$175,0)))</f>
        <v>بطاقة السائق</v>
      </c>
      <c r="E11" s="5">
        <f ca="1">IF($G11="","",INDEX(بيانات_الربط!$D$2:$D$175,MATCH($G11,بيانات_الربط!$F$2:$F$175,0)))</f>
        <v>46198</v>
      </c>
      <c r="F11" s="6">
        <f ca="1">IF($G11="","",INDEX(بيانات_الربط!$E$2:$E$175,MATCH($G11,بيانات_الربط!$F$2:$F$175,0)))</f>
        <v>-63</v>
      </c>
      <c r="G11" s="7">
        <f ca="1">IFERROR(SMALL(بيانات_الربط!$F$2:$F$175,3),"")</f>
        <v>-62.99935</v>
      </c>
    </row>
    <row r="12" spans="1:12">
      <c r="A12" s="4">
        <f ca="1">IF($G12="","",4)</f>
        <v>4</v>
      </c>
      <c r="B12" s="4" t="str">
        <f ca="1">IF($G12="","",INDEX(بيانات_الربط!$A$2:$A$175,MATCH($G12,بيانات_الربط!$F$2:$F$175,0)))</f>
        <v>انفير كاريماري عمير</v>
      </c>
      <c r="C12" s="4" t="str">
        <f ca="1">IF($G12="","",INDEX(بيانات_الربط!$B$2:$B$175,MATCH($G12,بيانات_الربط!$F$2:$F$175,0)))</f>
        <v>أ س ر 8873</v>
      </c>
      <c r="D12" s="4" t="str">
        <f ca="1">IF($G12="","",INDEX(بيانات_الربط!$C$2:$C$175,MATCH($G12,بيانات_الربط!$F$2:$F$175,0)))</f>
        <v>رخصة السير</v>
      </c>
      <c r="E12" s="5">
        <f ca="1">IF($G12="","",INDEX(بيانات_الربط!$D$2:$D$175,MATCH($G12,بيانات_الربط!$F$2:$F$175,0)))</f>
        <v>46221</v>
      </c>
      <c r="F12" s="6">
        <f ca="1">IF($G12="","",INDEX(بيانات_الربط!$E$2:$E$175,MATCH($G12,بيانات_الربط!$F$2:$F$175,0)))</f>
        <v>-40</v>
      </c>
      <c r="G12" s="7">
        <f ca="1">IFERROR(SMALL(بيانات_الربط!$F$2:$F$175,4),"")</f>
        <v>-39.999589999999998</v>
      </c>
    </row>
    <row r="13" spans="1:12">
      <c r="A13" s="4">
        <f ca="1">IF($G13="","",5)</f>
        <v>5</v>
      </c>
      <c r="B13" s="4" t="str">
        <f ca="1">IF($G13="","",INDEX(بيانات_الربط!$A$2:$A$175,MATCH($G13,بيانات_الربط!$F$2:$F$175,0)))</f>
        <v>جمال الدين محمد يوسف</v>
      </c>
      <c r="C13" s="4" t="str">
        <f ca="1">IF($G13="","",INDEX(بيانات_الربط!$B$2:$B$175,MATCH($G13,بيانات_الربط!$F$2:$F$175,0)))</f>
        <v>أ ر ه 3213</v>
      </c>
      <c r="D13" s="4" t="str">
        <f ca="1">IF($G13="","",INDEX(بيانات_الربط!$C$2:$C$175,MATCH($G13,بيانات_الربط!$F$2:$F$175,0)))</f>
        <v>رخصة السير</v>
      </c>
      <c r="E13" s="5">
        <f ca="1">IF($G13="","",INDEX(بيانات_الربط!$D$2:$D$175,MATCH($G13,بيانات_الربط!$F$2:$F$175,0)))</f>
        <v>46225</v>
      </c>
      <c r="F13" s="6">
        <f ca="1">IF($G13="","",INDEX(بيانات_الربط!$E$2:$E$175,MATCH($G13,بيانات_الربط!$F$2:$F$175,0)))</f>
        <v>-36</v>
      </c>
      <c r="G13" s="7">
        <f ca="1">IFERROR(SMALL(بيانات_الربط!$F$2:$F$175,5),"")</f>
        <v>-35.998460000000001</v>
      </c>
    </row>
    <row r="14" spans="1:12">
      <c r="A14" s="4">
        <f ca="1">IF($G14="","",6)</f>
        <v>6</v>
      </c>
      <c r="B14" s="4" t="str">
        <f ca="1">IF($G14="","",INDEX(بيانات_الربط!$A$2:$A$175,MATCH($G14,بيانات_الربط!$F$2:$F$175,0)))</f>
        <v>حسين مياه</v>
      </c>
      <c r="C14" s="4" t="str">
        <f ca="1">IF($G14="","",INDEX(بيانات_الربط!$B$2:$B$175,MATCH($G14,بيانات_الربط!$F$2:$F$175,0)))</f>
        <v>ب ط س 3261</v>
      </c>
      <c r="D14" s="4" t="str">
        <f ca="1">IF($G14="","",INDEX(بيانات_الربط!$C$2:$C$175,MATCH($G14,بيانات_الربط!$F$2:$F$175,0)))</f>
        <v>رخصة السير</v>
      </c>
      <c r="E14" s="5">
        <f ca="1">IF($G14="","",INDEX(بيانات_الربط!$D$2:$D$175,MATCH($G14,بيانات_الربط!$F$2:$F$175,0)))</f>
        <v>46232</v>
      </c>
      <c r="F14" s="6">
        <f ca="1">IF($G14="","",INDEX(بيانات_الربط!$E$2:$E$175,MATCH($G14,بيانات_الربط!$F$2:$F$175,0)))</f>
        <v>-29</v>
      </c>
      <c r="G14" s="7">
        <f ca="1">IFERROR(SMALL(بيانات_الربط!$F$2:$F$175,6),"")</f>
        <v>-28.998390000000001</v>
      </c>
    </row>
    <row r="15" spans="1:12">
      <c r="A15" s="4">
        <f ca="1">IF($G15="","",7)</f>
        <v>7</v>
      </c>
      <c r="B15" s="4" t="str">
        <f ca="1">IF($G15="","",INDEX(بيانات_الربط!$A$2:$A$175,MATCH($G15,بيانات_الربط!$F$2:$F$175,0)))</f>
        <v>حمداني كومفا ليميغاس</v>
      </c>
      <c r="C15" s="4" t="str">
        <f ca="1">IF($G15="","",INDEX(بيانات_الربط!$B$2:$B$175,MATCH($G15,بيانات_الربط!$F$2:$F$175,0)))</f>
        <v>ب ط س 3258</v>
      </c>
      <c r="D15" s="4" t="str">
        <f ca="1">IF($G15="","",INDEX(بيانات_الربط!$C$2:$C$175,MATCH($G15,بيانات_الربط!$F$2:$F$175,0)))</f>
        <v>رخصة السير</v>
      </c>
      <c r="E15" s="5">
        <f ca="1">IF($G15="","",INDEX(بيانات_الربط!$D$2:$D$175,MATCH($G15,بيانات_الربط!$F$2:$F$175,0)))</f>
        <v>46232</v>
      </c>
      <c r="F15" s="8">
        <f ca="1">IF($G15="","",INDEX(بيانات_الربط!$E$2:$E$175,MATCH($G15,بيانات_الربط!$F$2:$F$175,0)))</f>
        <v>-29</v>
      </c>
      <c r="G15" s="7">
        <f ca="1">IFERROR(SMALL(بيانات_الربط!$F$2:$F$175,7),"")</f>
        <v>-28.998370000000001</v>
      </c>
    </row>
    <row r="18" spans="1:2">
      <c r="A18" s="9"/>
    </row>
    <row r="19" spans="1:2">
      <c r="A19" s="10" t="s">
        <v>15</v>
      </c>
      <c r="B19" s="10">
        <f>COUNTIF('سجل النقل'!E5:E33,"موصل")</f>
        <v>17</v>
      </c>
    </row>
    <row r="20" spans="1:2">
      <c r="A20" s="10" t="s">
        <v>16</v>
      </c>
      <c r="B20" s="10">
        <f>COUNTIF('سجل النقل'!E5:E33,"موزع")</f>
        <v>12</v>
      </c>
    </row>
    <row r="21" spans="1:2">
      <c r="A21" s="10" t="s">
        <v>17</v>
      </c>
      <c r="B21" s="10">
        <f>COUNTIF('سجل النقل'!H5:H33,"ايسوزو دينا")</f>
        <v>4</v>
      </c>
    </row>
    <row r="22" spans="1:2">
      <c r="A22" s="10" t="s">
        <v>18</v>
      </c>
      <c r="B22" s="10">
        <f>COUNTIF('سجل النقل'!H5:H33,"ايسوزو لوري")</f>
        <v>13</v>
      </c>
    </row>
    <row r="23" spans="1:2">
      <c r="A23" s="10" t="s">
        <v>19</v>
      </c>
      <c r="B23" s="10">
        <f>COUNTIF('سجل النقل'!H5:H33,"متسوبيشي دينا")</f>
        <v>8</v>
      </c>
    </row>
    <row r="24" spans="1:2">
      <c r="A24" s="10" t="s">
        <v>20</v>
      </c>
      <c r="B24" s="10">
        <f>COUNTIF('سجل النقل'!H5:H33,"متسوبيشي لوري")</f>
        <v>3</v>
      </c>
    </row>
    <row r="25" spans="1:2">
      <c r="A25" s="10" t="s">
        <v>21</v>
      </c>
      <c r="B25" s="10">
        <f>COUNTIF('سجل النقل'!H5:H33,"هينو  دينا")</f>
        <v>1</v>
      </c>
    </row>
    <row r="27" spans="1:2">
      <c r="A27" s="11" t="s">
        <v>22</v>
      </c>
    </row>
    <row r="28" spans="1:2">
      <c r="A28" s="12"/>
    </row>
  </sheetData>
  <sheetProtection algorithmName="SHA-512" hashValue="iAKKzgseON6K+ENUp6kmrK8GE5sFuV08cBAvfRDutMpdp+abTuUJut4kbjG8DJXzorttqlhB4+Reb5xfIubSPQ==" saltValue="gnIJoxck7OI8efER+4jnHQ==" spinCount="100000" sheet="1" objects="1" scenarios="1"/>
  <mergeCells count="12">
    <mergeCell ref="A7:H7"/>
    <mergeCell ref="A1:L1"/>
    <mergeCell ref="C5:D5"/>
    <mergeCell ref="A5:B5"/>
    <mergeCell ref="G5:H5"/>
    <mergeCell ref="E5:F5"/>
    <mergeCell ref="I5:J5"/>
    <mergeCell ref="C4:D4"/>
    <mergeCell ref="A4:B4"/>
    <mergeCell ref="G4:H4"/>
    <mergeCell ref="E4:F4"/>
    <mergeCell ref="I4:J4"/>
  </mergeCells>
  <conditionalFormatting sqref="F9:F15">
    <cfRule type="expression" dxfId="22" priority="2">
      <formula>AND(ISNUMBER(F9),F9&lt;0)</formula>
    </cfRule>
    <cfRule type="expression" dxfId="21" priority="3">
      <formula>AND(ISNUMBER(F9),F9&gt;=0,F9&lt;=30)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rightToLeft="1" tabSelected="1" zoomScale="101" zoomScaleNormal="101" workbookViewId="0">
      <pane ySplit="4" topLeftCell="A5" activePane="bottomLeft" state="frozen"/>
      <selection activeCell="C1" sqref="C1"/>
      <selection pane="bottomLeft" activeCell="B34" sqref="B34"/>
    </sheetView>
  </sheetViews>
  <sheetFormatPr defaultColWidth="8.7109375" defaultRowHeight="15"/>
  <cols>
    <col min="1" max="1" width="4" style="44" customWidth="1"/>
    <col min="2" max="2" width="12" style="44" customWidth="1"/>
    <col min="3" max="3" width="24" style="44" customWidth="1"/>
    <col min="4" max="4" width="13" style="44" customWidth="1"/>
    <col min="5" max="5" width="9" style="44" customWidth="1"/>
    <col min="6" max="6" width="13" style="44" customWidth="1"/>
    <col min="7" max="7" width="9" style="44" customWidth="1"/>
    <col min="8" max="8" width="15" style="44" customWidth="1"/>
    <col min="9" max="9" width="9" style="44" customWidth="1"/>
    <col min="10" max="10" width="8" style="44" customWidth="1"/>
    <col min="11" max="11" width="12" style="44" customWidth="1"/>
    <col min="12" max="12" width="13" style="44" customWidth="1"/>
    <col min="13" max="13" width="10" style="44" customWidth="1"/>
    <col min="14" max="14" width="13" style="44" customWidth="1"/>
    <col min="15" max="15" width="10" style="44" customWidth="1"/>
    <col min="16" max="16" width="13" style="44" customWidth="1"/>
    <col min="17" max="17" width="10" style="44" customWidth="1"/>
    <col min="18" max="18" width="13" style="44" customWidth="1"/>
    <col min="19" max="19" width="10" style="44" customWidth="1"/>
    <col min="20" max="20" width="25.85546875" style="44" customWidth="1"/>
    <col min="21" max="21" width="12" style="44" customWidth="1"/>
  </cols>
  <sheetData>
    <row r="1" spans="1:21" ht="30" customHeight="1">
      <c r="A1" s="54" t="s">
        <v>23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</row>
    <row r="2" spans="1:21" ht="15.75" customHeight="1">
      <c r="A2" s="68" t="s">
        <v>1</v>
      </c>
      <c r="B2" s="55"/>
      <c r="T2" s="2">
        <f ca="1">TODAY()</f>
        <v>46261</v>
      </c>
      <c r="U2" s="53" t="s">
        <v>2</v>
      </c>
    </row>
    <row r="4" spans="1:21" ht="36" customHeight="1">
      <c r="A4" s="13" t="s">
        <v>9</v>
      </c>
      <c r="B4" s="13" t="s">
        <v>24</v>
      </c>
      <c r="C4" s="13" t="s">
        <v>25</v>
      </c>
      <c r="D4" s="13" t="s">
        <v>26</v>
      </c>
      <c r="E4" s="13" t="s">
        <v>27</v>
      </c>
      <c r="F4" s="13" t="s">
        <v>11</v>
      </c>
      <c r="G4" s="13" t="s">
        <v>28</v>
      </c>
      <c r="H4" s="13" t="s">
        <v>29</v>
      </c>
      <c r="I4" s="13" t="s">
        <v>30</v>
      </c>
      <c r="J4" s="13" t="s">
        <v>31</v>
      </c>
      <c r="K4" s="13" t="s">
        <v>32</v>
      </c>
      <c r="L4" s="13" t="s">
        <v>33</v>
      </c>
      <c r="M4" s="13" t="s">
        <v>14</v>
      </c>
      <c r="N4" s="13" t="s">
        <v>34</v>
      </c>
      <c r="O4" s="13" t="s">
        <v>14</v>
      </c>
      <c r="P4" s="13" t="s">
        <v>35</v>
      </c>
      <c r="Q4" s="13" t="s">
        <v>14</v>
      </c>
      <c r="R4" s="13" t="s">
        <v>36</v>
      </c>
      <c r="S4" s="13" t="s">
        <v>14</v>
      </c>
      <c r="T4" s="13" t="s">
        <v>37</v>
      </c>
      <c r="U4" s="13" t="s">
        <v>38</v>
      </c>
    </row>
    <row r="5" spans="1:21">
      <c r="A5" s="4">
        <v>1</v>
      </c>
      <c r="B5" s="4">
        <v>100310</v>
      </c>
      <c r="C5" s="4" t="s">
        <v>39</v>
      </c>
      <c r="D5" s="4">
        <v>2253252916</v>
      </c>
      <c r="E5" s="4" t="s">
        <v>15</v>
      </c>
      <c r="F5" s="4" t="s">
        <v>40</v>
      </c>
      <c r="G5" s="4">
        <v>2023</v>
      </c>
      <c r="H5" s="4" t="s">
        <v>18</v>
      </c>
      <c r="I5" s="4">
        <v>8</v>
      </c>
      <c r="J5" s="4">
        <v>3</v>
      </c>
      <c r="K5" s="4">
        <v>17554020</v>
      </c>
      <c r="L5" s="5">
        <v>46478</v>
      </c>
      <c r="M5" s="4">
        <f t="shared" ref="M5:M33" ca="1" si="0">IF(ISNUMBER(L5),L5-TODAY(),"-")</f>
        <v>217</v>
      </c>
      <c r="N5" s="5">
        <v>46397</v>
      </c>
      <c r="O5" s="4">
        <f t="shared" ref="O5:O13" ca="1" si="1">IF(ISNUMBER(N5),N5-TODAY(),"-")</f>
        <v>136</v>
      </c>
      <c r="P5" s="5">
        <v>46515</v>
      </c>
      <c r="Q5" s="4">
        <f t="shared" ref="Q5:Q33" ca="1" si="2">IF(ISNUMBER(P5),P5-TODAY(),"-")</f>
        <v>254</v>
      </c>
      <c r="R5" s="5">
        <v>46479</v>
      </c>
      <c r="S5" s="4">
        <f t="shared" ref="S5:S33" ca="1" si="3">IF(ISNUMBER(R5),R5-TODAY(),"-")</f>
        <v>218</v>
      </c>
      <c r="T5" s="4" t="s">
        <v>41</v>
      </c>
      <c r="U5" s="4">
        <v>504125217</v>
      </c>
    </row>
    <row r="6" spans="1:21">
      <c r="A6" s="4">
        <v>2</v>
      </c>
      <c r="B6" s="4">
        <v>100276</v>
      </c>
      <c r="C6" s="4" t="s">
        <v>42</v>
      </c>
      <c r="D6" s="4">
        <v>2485516401</v>
      </c>
      <c r="E6" s="4" t="s">
        <v>16</v>
      </c>
      <c r="F6" s="4" t="s">
        <v>43</v>
      </c>
      <c r="G6" s="4">
        <v>2023</v>
      </c>
      <c r="H6" s="4" t="s">
        <v>18</v>
      </c>
      <c r="I6" s="4">
        <v>8</v>
      </c>
      <c r="J6" s="4">
        <v>3</v>
      </c>
      <c r="K6" s="4">
        <v>968754020</v>
      </c>
      <c r="L6" s="5">
        <v>46309</v>
      </c>
      <c r="M6" s="4">
        <f t="shared" ca="1" si="0"/>
        <v>48</v>
      </c>
      <c r="N6" s="5">
        <v>46398</v>
      </c>
      <c r="O6" s="4">
        <f t="shared" ca="1" si="1"/>
        <v>137</v>
      </c>
      <c r="P6" s="5">
        <v>46515</v>
      </c>
      <c r="Q6" s="4">
        <f t="shared" ca="1" si="2"/>
        <v>254</v>
      </c>
      <c r="R6" s="5">
        <v>46484</v>
      </c>
      <c r="S6" s="4">
        <f t="shared" ca="1" si="3"/>
        <v>223</v>
      </c>
      <c r="T6" s="4" t="s">
        <v>44</v>
      </c>
      <c r="U6" s="4">
        <v>535690637</v>
      </c>
    </row>
    <row r="7" spans="1:21">
      <c r="A7" s="4">
        <v>3</v>
      </c>
      <c r="B7" s="4">
        <v>100327</v>
      </c>
      <c r="C7" s="4" t="s">
        <v>45</v>
      </c>
      <c r="D7" s="4">
        <v>2283628259</v>
      </c>
      <c r="E7" s="4" t="s">
        <v>15</v>
      </c>
      <c r="F7" s="4" t="s">
        <v>46</v>
      </c>
      <c r="G7" s="4">
        <v>2023</v>
      </c>
      <c r="H7" s="4" t="s">
        <v>18</v>
      </c>
      <c r="I7" s="4">
        <v>8</v>
      </c>
      <c r="J7" s="4">
        <v>3</v>
      </c>
      <c r="K7" s="4">
        <v>358754020</v>
      </c>
      <c r="L7" s="5">
        <v>46309</v>
      </c>
      <c r="M7" s="4">
        <f t="shared" ca="1" si="0"/>
        <v>48</v>
      </c>
      <c r="N7" s="5">
        <v>46398</v>
      </c>
      <c r="O7" s="4">
        <f t="shared" ca="1" si="1"/>
        <v>137</v>
      </c>
      <c r="P7" s="5">
        <v>46515</v>
      </c>
      <c r="Q7" s="4">
        <f t="shared" ca="1" si="2"/>
        <v>254</v>
      </c>
      <c r="R7" s="5">
        <v>46505</v>
      </c>
      <c r="S7" s="4">
        <f t="shared" ca="1" si="3"/>
        <v>244</v>
      </c>
      <c r="T7" s="4" t="s">
        <v>41</v>
      </c>
      <c r="U7" s="4">
        <v>565369080</v>
      </c>
    </row>
    <row r="8" spans="1:21">
      <c r="A8" s="4">
        <v>4</v>
      </c>
      <c r="B8" s="4">
        <v>100245</v>
      </c>
      <c r="C8" s="4" t="s">
        <v>47</v>
      </c>
      <c r="D8" s="4">
        <v>2121612820</v>
      </c>
      <c r="E8" s="4" t="s">
        <v>16</v>
      </c>
      <c r="F8" s="4" t="s">
        <v>48</v>
      </c>
      <c r="G8" s="4">
        <v>2023</v>
      </c>
      <c r="H8" s="4" t="s">
        <v>19</v>
      </c>
      <c r="I8" s="4">
        <v>4</v>
      </c>
      <c r="J8" s="4">
        <v>3</v>
      </c>
      <c r="K8" s="4">
        <v>29819910</v>
      </c>
      <c r="L8" s="5">
        <v>46295</v>
      </c>
      <c r="M8" s="4">
        <f t="shared" ca="1" si="0"/>
        <v>34</v>
      </c>
      <c r="N8" s="5">
        <v>47192</v>
      </c>
      <c r="O8" s="4">
        <f t="shared" ca="1" si="1"/>
        <v>931</v>
      </c>
      <c r="P8" s="5">
        <v>46198</v>
      </c>
      <c r="Q8" s="4">
        <f t="shared" ca="1" si="2"/>
        <v>-63</v>
      </c>
      <c r="R8" s="5">
        <v>46515</v>
      </c>
      <c r="S8" s="4">
        <f t="shared" ca="1" si="3"/>
        <v>254</v>
      </c>
      <c r="T8" s="4" t="s">
        <v>49</v>
      </c>
      <c r="U8" s="4">
        <v>567116916</v>
      </c>
    </row>
    <row r="9" spans="1:21">
      <c r="A9" s="4">
        <v>5</v>
      </c>
      <c r="B9" s="4">
        <v>102179</v>
      </c>
      <c r="C9" s="4" t="s">
        <v>50</v>
      </c>
      <c r="D9" s="4">
        <v>2519784710</v>
      </c>
      <c r="E9" s="4" t="s">
        <v>15</v>
      </c>
      <c r="F9" s="4" t="s">
        <v>51</v>
      </c>
      <c r="G9" s="4">
        <v>2020</v>
      </c>
      <c r="H9" s="4" t="s">
        <v>19</v>
      </c>
      <c r="I9" s="4">
        <v>4</v>
      </c>
      <c r="J9" s="4">
        <v>3</v>
      </c>
      <c r="K9" s="4">
        <v>196860810</v>
      </c>
      <c r="L9" s="5">
        <v>46563</v>
      </c>
      <c r="M9" s="4">
        <f t="shared" ca="1" si="0"/>
        <v>302</v>
      </c>
      <c r="N9" s="5">
        <v>46272</v>
      </c>
      <c r="O9" s="4">
        <f t="shared" ca="1" si="1"/>
        <v>11</v>
      </c>
      <c r="P9" s="5">
        <v>46515</v>
      </c>
      <c r="Q9" s="4">
        <f t="shared" ca="1" si="2"/>
        <v>254</v>
      </c>
      <c r="R9" s="5">
        <v>46515</v>
      </c>
      <c r="S9" s="4">
        <f t="shared" ca="1" si="3"/>
        <v>254</v>
      </c>
      <c r="T9" s="4" t="s">
        <v>52</v>
      </c>
      <c r="U9" s="4">
        <v>594535961</v>
      </c>
    </row>
    <row r="10" spans="1:21">
      <c r="A10" s="4">
        <v>6</v>
      </c>
      <c r="B10" s="4">
        <v>102181</v>
      </c>
      <c r="C10" s="4" t="s">
        <v>53</v>
      </c>
      <c r="D10" s="4">
        <v>2536883693</v>
      </c>
      <c r="E10" s="4" t="s">
        <v>16</v>
      </c>
      <c r="F10" s="4" t="s">
        <v>54</v>
      </c>
      <c r="G10" s="4">
        <v>2023</v>
      </c>
      <c r="H10" s="4" t="s">
        <v>18</v>
      </c>
      <c r="I10" s="4">
        <v>8</v>
      </c>
      <c r="J10" s="4">
        <v>3</v>
      </c>
      <c r="K10" s="4">
        <v>826065910</v>
      </c>
      <c r="L10" s="5">
        <v>46475</v>
      </c>
      <c r="M10" s="4">
        <f t="shared" ca="1" si="0"/>
        <v>214</v>
      </c>
      <c r="N10" s="5">
        <v>46997</v>
      </c>
      <c r="O10" s="4">
        <f t="shared" ca="1" si="1"/>
        <v>736</v>
      </c>
      <c r="P10" s="5">
        <v>46505</v>
      </c>
      <c r="Q10" s="4">
        <f t="shared" ca="1" si="2"/>
        <v>244</v>
      </c>
      <c r="R10" s="5">
        <v>46515</v>
      </c>
      <c r="S10" s="4">
        <f t="shared" ca="1" si="3"/>
        <v>254</v>
      </c>
      <c r="T10" s="4" t="s">
        <v>52</v>
      </c>
      <c r="U10" s="4">
        <v>548827398</v>
      </c>
    </row>
    <row r="11" spans="1:21">
      <c r="A11" s="4">
        <v>7</v>
      </c>
      <c r="B11" s="4">
        <v>100217</v>
      </c>
      <c r="C11" s="4" t="s">
        <v>55</v>
      </c>
      <c r="D11" s="4">
        <v>2501620039</v>
      </c>
      <c r="E11" s="4" t="s">
        <v>15</v>
      </c>
      <c r="F11" s="4" t="s">
        <v>56</v>
      </c>
      <c r="G11" s="4">
        <v>2023</v>
      </c>
      <c r="H11" s="4" t="s">
        <v>18</v>
      </c>
      <c r="I11" s="4">
        <v>8</v>
      </c>
      <c r="J11" s="4">
        <v>2</v>
      </c>
      <c r="K11" s="4">
        <v>698454020</v>
      </c>
      <c r="L11" s="14">
        <v>46536</v>
      </c>
      <c r="M11" s="4">
        <f t="shared" ca="1" si="0"/>
        <v>275</v>
      </c>
      <c r="N11" s="5">
        <v>46398</v>
      </c>
      <c r="O11" s="4">
        <f t="shared" ca="1" si="1"/>
        <v>137</v>
      </c>
      <c r="P11" s="5">
        <v>46528</v>
      </c>
      <c r="Q11" s="4">
        <f t="shared" ca="1" si="2"/>
        <v>267</v>
      </c>
      <c r="R11" s="5">
        <v>46485</v>
      </c>
      <c r="S11" s="4">
        <f t="shared" ca="1" si="3"/>
        <v>224</v>
      </c>
      <c r="T11" s="4" t="s">
        <v>52</v>
      </c>
      <c r="U11" s="4">
        <v>564915114</v>
      </c>
    </row>
    <row r="12" spans="1:21">
      <c r="A12" s="4">
        <v>8</v>
      </c>
      <c r="B12" s="4">
        <v>102452</v>
      </c>
      <c r="C12" s="4" t="s">
        <v>57</v>
      </c>
      <c r="D12" s="4">
        <v>2550977850</v>
      </c>
      <c r="E12" s="4" t="s">
        <v>15</v>
      </c>
      <c r="F12" s="4" t="s">
        <v>58</v>
      </c>
      <c r="G12" s="4">
        <v>2016</v>
      </c>
      <c r="H12" s="4" t="s">
        <v>20</v>
      </c>
      <c r="I12" s="4">
        <v>8</v>
      </c>
      <c r="J12" s="4">
        <v>2</v>
      </c>
      <c r="K12" s="4">
        <v>831809610</v>
      </c>
      <c r="L12" s="5">
        <v>46384</v>
      </c>
      <c r="M12" s="4">
        <f t="shared" ca="1" si="0"/>
        <v>123</v>
      </c>
      <c r="N12" s="5">
        <v>46282</v>
      </c>
      <c r="O12" s="4">
        <f t="shared" ca="1" si="1"/>
        <v>21</v>
      </c>
      <c r="P12" s="5">
        <v>46516</v>
      </c>
      <c r="Q12" s="4">
        <f t="shared" ca="1" si="2"/>
        <v>255</v>
      </c>
      <c r="R12" s="5">
        <v>46515</v>
      </c>
      <c r="S12" s="4">
        <f t="shared" ca="1" si="3"/>
        <v>254</v>
      </c>
      <c r="T12" s="4" t="s">
        <v>52</v>
      </c>
      <c r="U12" s="4">
        <v>575806817</v>
      </c>
    </row>
    <row r="13" spans="1:21">
      <c r="A13" s="4">
        <v>9</v>
      </c>
      <c r="B13" s="4">
        <v>100360</v>
      </c>
      <c r="C13" s="4" t="s">
        <v>59</v>
      </c>
      <c r="D13" s="4">
        <v>2393652496</v>
      </c>
      <c r="E13" s="4" t="s">
        <v>16</v>
      </c>
      <c r="F13" s="4" t="s">
        <v>60</v>
      </c>
      <c r="G13" s="4">
        <v>2023</v>
      </c>
      <c r="H13" s="4" t="s">
        <v>19</v>
      </c>
      <c r="I13" s="4">
        <v>4</v>
      </c>
      <c r="J13" s="4">
        <v>3</v>
      </c>
      <c r="K13" s="4">
        <v>386860810</v>
      </c>
      <c r="L13" s="5">
        <v>46521</v>
      </c>
      <c r="M13" s="4">
        <f t="shared" ca="1" si="0"/>
        <v>260</v>
      </c>
      <c r="N13" s="5">
        <v>46265</v>
      </c>
      <c r="O13" s="4">
        <f t="shared" ca="1" si="1"/>
        <v>4</v>
      </c>
      <c r="P13" s="5">
        <v>46515</v>
      </c>
      <c r="Q13" s="4">
        <f t="shared" ca="1" si="2"/>
        <v>254</v>
      </c>
      <c r="R13" s="5">
        <v>46515</v>
      </c>
      <c r="S13" s="4">
        <f t="shared" ca="1" si="3"/>
        <v>254</v>
      </c>
      <c r="T13" s="4" t="s">
        <v>52</v>
      </c>
      <c r="U13" s="4">
        <v>541364538</v>
      </c>
    </row>
    <row r="14" spans="1:21">
      <c r="A14" s="4">
        <v>10</v>
      </c>
      <c r="B14" s="4">
        <v>100332</v>
      </c>
      <c r="C14" s="4" t="s">
        <v>61</v>
      </c>
      <c r="D14" s="4">
        <v>2350147415</v>
      </c>
      <c r="E14" s="4" t="s">
        <v>16</v>
      </c>
      <c r="F14" s="4" t="s">
        <v>62</v>
      </c>
      <c r="G14" s="4">
        <v>2020</v>
      </c>
      <c r="H14" s="4" t="s">
        <v>19</v>
      </c>
      <c r="I14" s="4">
        <v>4</v>
      </c>
      <c r="J14" s="4">
        <v>3</v>
      </c>
      <c r="K14" s="4">
        <v>203480020</v>
      </c>
      <c r="L14" s="5">
        <v>46296</v>
      </c>
      <c r="M14" s="4">
        <f t="shared" ca="1" si="0"/>
        <v>35</v>
      </c>
      <c r="N14" s="5">
        <v>46221</v>
      </c>
      <c r="O14" s="4">
        <f ca="1">IF(ISNUMBER(N14),N14-TODAY(),N14-"")</f>
        <v>-40</v>
      </c>
      <c r="P14" s="5">
        <v>46513</v>
      </c>
      <c r="Q14" s="4">
        <f t="shared" ca="1" si="2"/>
        <v>252</v>
      </c>
      <c r="R14" s="5">
        <v>46515</v>
      </c>
      <c r="S14" s="4">
        <f t="shared" ca="1" si="3"/>
        <v>254</v>
      </c>
      <c r="T14" s="4" t="s">
        <v>41</v>
      </c>
      <c r="U14" s="4">
        <v>571991926</v>
      </c>
    </row>
    <row r="15" spans="1:21">
      <c r="A15" s="4">
        <v>11</v>
      </c>
      <c r="B15" s="4">
        <v>102126</v>
      </c>
      <c r="C15" s="4" t="s">
        <v>63</v>
      </c>
      <c r="D15" s="4">
        <v>2530207360</v>
      </c>
      <c r="E15" s="4" t="s">
        <v>16</v>
      </c>
      <c r="F15" s="4" t="s">
        <v>64</v>
      </c>
      <c r="G15" s="4">
        <v>2023</v>
      </c>
      <c r="H15" s="4" t="s">
        <v>18</v>
      </c>
      <c r="I15" s="4">
        <v>8</v>
      </c>
      <c r="J15" s="4">
        <v>3</v>
      </c>
      <c r="K15" s="4">
        <v>207954020</v>
      </c>
      <c r="L15" s="5">
        <v>46478</v>
      </c>
      <c r="M15" s="4">
        <f t="shared" ca="1" si="0"/>
        <v>217</v>
      </c>
      <c r="N15" s="5">
        <v>46398</v>
      </c>
      <c r="O15" s="4">
        <f t="shared" ref="O15:O33" ca="1" si="4">IF(ISNUMBER(N15),N15-TODAY(),"-")</f>
        <v>137</v>
      </c>
      <c r="P15" s="5">
        <v>46515</v>
      </c>
      <c r="Q15" s="4">
        <f t="shared" ca="1" si="2"/>
        <v>254</v>
      </c>
      <c r="R15" s="5">
        <v>46485</v>
      </c>
      <c r="S15" s="4">
        <f t="shared" ca="1" si="3"/>
        <v>224</v>
      </c>
      <c r="T15" s="4" t="s">
        <v>41</v>
      </c>
      <c r="U15" s="4">
        <v>567948210</v>
      </c>
    </row>
    <row r="16" spans="1:21">
      <c r="A16" s="4">
        <v>12</v>
      </c>
      <c r="B16" s="4">
        <v>100828</v>
      </c>
      <c r="C16" s="4" t="s">
        <v>65</v>
      </c>
      <c r="D16" s="4">
        <v>2461544377</v>
      </c>
      <c r="E16" s="4" t="s">
        <v>16</v>
      </c>
      <c r="F16" s="4" t="s">
        <v>66</v>
      </c>
      <c r="G16" s="4">
        <v>2022</v>
      </c>
      <c r="H16" s="4" t="s">
        <v>17</v>
      </c>
      <c r="I16" s="4">
        <v>4</v>
      </c>
      <c r="J16" s="4">
        <v>3</v>
      </c>
      <c r="K16" s="4">
        <v>960941910</v>
      </c>
      <c r="L16" s="5">
        <v>46384</v>
      </c>
      <c r="M16" s="4">
        <f t="shared" ca="1" si="0"/>
        <v>123</v>
      </c>
      <c r="N16" s="5">
        <v>46858</v>
      </c>
      <c r="O16" s="4">
        <f t="shared" ca="1" si="4"/>
        <v>597</v>
      </c>
      <c r="P16" s="5">
        <v>46388</v>
      </c>
      <c r="Q16" s="4">
        <f t="shared" ca="1" si="2"/>
        <v>127</v>
      </c>
      <c r="R16" s="5">
        <v>46379</v>
      </c>
      <c r="S16" s="4">
        <f t="shared" ca="1" si="3"/>
        <v>118</v>
      </c>
      <c r="T16" s="4" t="s">
        <v>52</v>
      </c>
      <c r="U16" s="4">
        <v>549131428</v>
      </c>
    </row>
    <row r="17" spans="1:21">
      <c r="A17" s="4">
        <v>13</v>
      </c>
      <c r="B17" s="4">
        <v>100522</v>
      </c>
      <c r="C17" s="4" t="s">
        <v>67</v>
      </c>
      <c r="D17" s="4">
        <v>2430898482</v>
      </c>
      <c r="E17" s="4" t="s">
        <v>16</v>
      </c>
      <c r="F17" s="4" t="s">
        <v>68</v>
      </c>
      <c r="G17" s="4">
        <v>2023</v>
      </c>
      <c r="H17" s="4" t="s">
        <v>19</v>
      </c>
      <c r="I17" s="4">
        <v>4</v>
      </c>
      <c r="J17" s="4">
        <v>3</v>
      </c>
      <c r="K17" s="4">
        <v>379167910</v>
      </c>
      <c r="L17" s="5">
        <v>46338</v>
      </c>
      <c r="M17" s="4">
        <f t="shared" ca="1" si="0"/>
        <v>77</v>
      </c>
      <c r="N17" s="5">
        <v>47153</v>
      </c>
      <c r="O17" s="4">
        <f t="shared" ca="1" si="4"/>
        <v>892</v>
      </c>
      <c r="P17" s="5">
        <v>46296</v>
      </c>
      <c r="Q17" s="4">
        <f t="shared" ca="1" si="2"/>
        <v>35</v>
      </c>
      <c r="R17" s="5">
        <v>46515</v>
      </c>
      <c r="S17" s="4">
        <f t="shared" ca="1" si="3"/>
        <v>254</v>
      </c>
      <c r="T17" s="4" t="s">
        <v>52</v>
      </c>
      <c r="U17" s="4">
        <v>581993668</v>
      </c>
    </row>
    <row r="18" spans="1:21">
      <c r="A18" s="4">
        <v>14</v>
      </c>
      <c r="B18" s="4">
        <v>100711</v>
      </c>
      <c r="C18" s="4" t="s">
        <v>69</v>
      </c>
      <c r="D18" s="4">
        <v>2409104953</v>
      </c>
      <c r="E18" s="4" t="s">
        <v>15</v>
      </c>
      <c r="F18" s="4" t="s">
        <v>70</v>
      </c>
      <c r="G18" s="4">
        <v>2024</v>
      </c>
      <c r="H18" s="4" t="s">
        <v>17</v>
      </c>
      <c r="I18" s="4">
        <v>4</v>
      </c>
      <c r="J18" s="4">
        <v>3</v>
      </c>
      <c r="K18" s="4">
        <v>739131120</v>
      </c>
      <c r="L18" s="5">
        <v>46476</v>
      </c>
      <c r="M18" s="4">
        <f t="shared" ca="1" si="0"/>
        <v>215</v>
      </c>
      <c r="N18" s="5">
        <v>46583</v>
      </c>
      <c r="O18" s="4">
        <f t="shared" ca="1" si="4"/>
        <v>322</v>
      </c>
      <c r="P18" s="5">
        <v>46330</v>
      </c>
      <c r="Q18" s="4">
        <f t="shared" ca="1" si="2"/>
        <v>69</v>
      </c>
      <c r="R18" s="5">
        <v>46505</v>
      </c>
      <c r="S18" s="4">
        <f t="shared" ca="1" si="3"/>
        <v>244</v>
      </c>
      <c r="T18" s="4" t="s">
        <v>52</v>
      </c>
      <c r="U18" s="4">
        <v>567428582</v>
      </c>
    </row>
    <row r="19" spans="1:21">
      <c r="A19" s="4">
        <v>15</v>
      </c>
      <c r="B19" s="4">
        <v>100330</v>
      </c>
      <c r="C19" s="4" t="s">
        <v>71</v>
      </c>
      <c r="D19" s="4">
        <v>2325599070</v>
      </c>
      <c r="E19" s="4" t="s">
        <v>16</v>
      </c>
      <c r="F19" s="4" t="s">
        <v>72</v>
      </c>
      <c r="G19" s="4">
        <v>2023</v>
      </c>
      <c r="H19" s="4" t="s">
        <v>19</v>
      </c>
      <c r="I19" s="4">
        <v>4</v>
      </c>
      <c r="J19" s="4">
        <v>3</v>
      </c>
      <c r="K19" s="4">
        <v>949819910</v>
      </c>
      <c r="L19" s="5">
        <v>46467</v>
      </c>
      <c r="M19" s="4">
        <f t="shared" ca="1" si="0"/>
        <v>206</v>
      </c>
      <c r="N19" s="5">
        <v>47192</v>
      </c>
      <c r="O19" s="4">
        <f t="shared" ca="1" si="4"/>
        <v>931</v>
      </c>
      <c r="P19" s="5">
        <v>46417</v>
      </c>
      <c r="Q19" s="4">
        <f t="shared" ca="1" si="2"/>
        <v>156</v>
      </c>
      <c r="R19" s="5">
        <v>46515</v>
      </c>
      <c r="S19" s="4">
        <f t="shared" ca="1" si="3"/>
        <v>254</v>
      </c>
      <c r="T19" s="4" t="s">
        <v>52</v>
      </c>
      <c r="U19" s="4">
        <v>571724688</v>
      </c>
    </row>
    <row r="20" spans="1:21">
      <c r="A20" s="4">
        <v>16</v>
      </c>
      <c r="B20" s="4">
        <v>100303</v>
      </c>
      <c r="C20" s="4" t="s">
        <v>73</v>
      </c>
      <c r="D20" s="4">
        <v>2090207859</v>
      </c>
      <c r="E20" s="4" t="s">
        <v>15</v>
      </c>
      <c r="F20" s="4" t="s">
        <v>74</v>
      </c>
      <c r="G20" s="4">
        <v>2023</v>
      </c>
      <c r="H20" s="4" t="s">
        <v>18</v>
      </c>
      <c r="I20" s="4">
        <v>8</v>
      </c>
      <c r="J20" s="4">
        <v>3</v>
      </c>
      <c r="K20" s="4">
        <v>537954020</v>
      </c>
      <c r="L20" s="5">
        <v>46474</v>
      </c>
      <c r="M20" s="4">
        <f t="shared" ca="1" si="0"/>
        <v>213</v>
      </c>
      <c r="N20" s="5">
        <v>46398</v>
      </c>
      <c r="O20" s="4">
        <f t="shared" ca="1" si="4"/>
        <v>137</v>
      </c>
      <c r="P20" s="5">
        <v>46386</v>
      </c>
      <c r="Q20" s="4">
        <f t="shared" ca="1" si="2"/>
        <v>125</v>
      </c>
      <c r="R20" s="5">
        <v>46479</v>
      </c>
      <c r="S20" s="4">
        <f t="shared" ca="1" si="3"/>
        <v>218</v>
      </c>
      <c r="T20" s="4" t="s">
        <v>52</v>
      </c>
      <c r="U20" s="4">
        <v>558453231</v>
      </c>
    </row>
    <row r="21" spans="1:21">
      <c r="A21" s="4">
        <v>17</v>
      </c>
      <c r="B21" s="4">
        <v>102845</v>
      </c>
      <c r="C21" s="4" t="s">
        <v>75</v>
      </c>
      <c r="D21" s="4">
        <v>2607260698</v>
      </c>
      <c r="E21" s="4" t="s">
        <v>15</v>
      </c>
      <c r="F21" s="4" t="s">
        <v>76</v>
      </c>
      <c r="G21" s="4">
        <v>2016</v>
      </c>
      <c r="H21" s="4" t="s">
        <v>20</v>
      </c>
      <c r="I21" s="4">
        <v>8</v>
      </c>
      <c r="J21" s="4">
        <v>2</v>
      </c>
      <c r="K21" s="4">
        <v>451809610</v>
      </c>
      <c r="L21" s="5">
        <v>46348</v>
      </c>
      <c r="M21" s="4">
        <f t="shared" ca="1" si="0"/>
        <v>87</v>
      </c>
      <c r="N21" s="5">
        <v>46303</v>
      </c>
      <c r="O21" s="4">
        <f t="shared" ca="1" si="4"/>
        <v>42</v>
      </c>
      <c r="P21" s="5">
        <v>46515</v>
      </c>
      <c r="Q21" s="4">
        <f t="shared" ca="1" si="2"/>
        <v>254</v>
      </c>
      <c r="R21" s="5">
        <v>46515</v>
      </c>
      <c r="S21" s="4">
        <f t="shared" ca="1" si="3"/>
        <v>254</v>
      </c>
      <c r="T21" s="4" t="s">
        <v>52</v>
      </c>
      <c r="U21" s="4">
        <v>572901340</v>
      </c>
    </row>
    <row r="22" spans="1:21">
      <c r="A22" s="4">
        <v>18</v>
      </c>
      <c r="B22" s="4">
        <v>102368</v>
      </c>
      <c r="C22" s="4" t="s">
        <v>77</v>
      </c>
      <c r="D22" s="4">
        <v>2537417152</v>
      </c>
      <c r="E22" s="4" t="s">
        <v>15</v>
      </c>
      <c r="F22" s="4" t="s">
        <v>78</v>
      </c>
      <c r="G22" s="4">
        <v>2023</v>
      </c>
      <c r="H22" s="4" t="s">
        <v>18</v>
      </c>
      <c r="I22" s="4">
        <v>8</v>
      </c>
      <c r="J22" s="4">
        <v>3</v>
      </c>
      <c r="K22" s="4">
        <v>277754020</v>
      </c>
      <c r="L22" s="5">
        <v>46310</v>
      </c>
      <c r="M22" s="4">
        <f t="shared" ca="1" si="0"/>
        <v>49</v>
      </c>
      <c r="N22" s="5">
        <v>46398</v>
      </c>
      <c r="O22" s="4">
        <f t="shared" ca="1" si="4"/>
        <v>137</v>
      </c>
      <c r="P22" s="5">
        <v>46500</v>
      </c>
      <c r="Q22" s="4">
        <f t="shared" ca="1" si="2"/>
        <v>239</v>
      </c>
      <c r="R22" s="5">
        <v>46484</v>
      </c>
      <c r="S22" s="4">
        <f t="shared" ca="1" si="3"/>
        <v>223</v>
      </c>
      <c r="T22" s="4" t="s">
        <v>52</v>
      </c>
      <c r="U22" s="4">
        <v>536735114</v>
      </c>
    </row>
    <row r="23" spans="1:21">
      <c r="A23" s="4">
        <v>19</v>
      </c>
      <c r="B23" s="4">
        <v>101260</v>
      </c>
      <c r="C23" s="4" t="s">
        <v>79</v>
      </c>
      <c r="D23" s="4">
        <v>2487345031</v>
      </c>
      <c r="E23" s="4" t="s">
        <v>16</v>
      </c>
      <c r="F23" s="4" t="s">
        <v>80</v>
      </c>
      <c r="G23" s="4">
        <v>2022</v>
      </c>
      <c r="H23" s="4" t="s">
        <v>17</v>
      </c>
      <c r="I23" s="4">
        <v>4</v>
      </c>
      <c r="J23" s="4">
        <v>3</v>
      </c>
      <c r="K23" s="4">
        <v>74841910</v>
      </c>
      <c r="L23" s="5">
        <v>46359</v>
      </c>
      <c r="M23" s="4">
        <f t="shared" ca="1" si="0"/>
        <v>98</v>
      </c>
      <c r="N23" s="5">
        <v>46858</v>
      </c>
      <c r="O23" s="4">
        <f t="shared" ca="1" si="4"/>
        <v>597</v>
      </c>
      <c r="P23" s="5">
        <v>46504</v>
      </c>
      <c r="Q23" s="4">
        <f t="shared" ca="1" si="2"/>
        <v>243</v>
      </c>
      <c r="R23" s="5">
        <v>46379</v>
      </c>
      <c r="S23" s="4">
        <f t="shared" ca="1" si="3"/>
        <v>118</v>
      </c>
      <c r="T23" s="4" t="s">
        <v>52</v>
      </c>
      <c r="U23" s="4">
        <v>564649987</v>
      </c>
    </row>
    <row r="24" spans="1:21">
      <c r="A24" s="4">
        <v>20</v>
      </c>
      <c r="B24" s="4">
        <v>101936</v>
      </c>
      <c r="C24" s="4" t="s">
        <v>81</v>
      </c>
      <c r="D24" s="4">
        <v>2505074498</v>
      </c>
      <c r="E24" s="4" t="s">
        <v>15</v>
      </c>
      <c r="F24" s="4" t="s">
        <v>82</v>
      </c>
      <c r="G24" s="4">
        <v>2023</v>
      </c>
      <c r="H24" s="4" t="s">
        <v>18</v>
      </c>
      <c r="I24" s="4">
        <v>8</v>
      </c>
      <c r="J24" s="4">
        <v>3</v>
      </c>
      <c r="K24" s="4">
        <v>317954020</v>
      </c>
      <c r="L24" s="5">
        <v>46476</v>
      </c>
      <c r="M24" s="4">
        <f t="shared" ca="1" si="0"/>
        <v>215</v>
      </c>
      <c r="N24" s="5">
        <v>46398</v>
      </c>
      <c r="O24" s="4">
        <f t="shared" ca="1" si="4"/>
        <v>137</v>
      </c>
      <c r="P24" s="5">
        <v>46515</v>
      </c>
      <c r="Q24" s="4">
        <f t="shared" ca="1" si="2"/>
        <v>254</v>
      </c>
      <c r="R24" s="5">
        <v>46485</v>
      </c>
      <c r="S24" s="4">
        <f t="shared" ca="1" si="3"/>
        <v>224</v>
      </c>
      <c r="T24" s="4" t="s">
        <v>52</v>
      </c>
      <c r="U24" s="4">
        <v>550920461</v>
      </c>
    </row>
    <row r="25" spans="1:21">
      <c r="A25" s="4">
        <v>21</v>
      </c>
      <c r="B25" s="4">
        <v>100717</v>
      </c>
      <c r="C25" s="4" t="s">
        <v>83</v>
      </c>
      <c r="D25" s="4">
        <v>2445181585</v>
      </c>
      <c r="E25" s="4" t="s">
        <v>16</v>
      </c>
      <c r="F25" s="4" t="s">
        <v>84</v>
      </c>
      <c r="G25" s="4">
        <v>2023</v>
      </c>
      <c r="H25" s="4" t="s">
        <v>18</v>
      </c>
      <c r="I25" s="4">
        <v>8</v>
      </c>
      <c r="J25" s="4">
        <v>3</v>
      </c>
      <c r="K25" s="4">
        <v>776954020</v>
      </c>
      <c r="L25" s="5">
        <v>46480</v>
      </c>
      <c r="M25" s="4">
        <f t="shared" ca="1" si="0"/>
        <v>219</v>
      </c>
      <c r="N25" s="5">
        <v>46398</v>
      </c>
      <c r="O25" s="4">
        <f t="shared" ca="1" si="4"/>
        <v>137</v>
      </c>
      <c r="P25" s="5">
        <v>46515</v>
      </c>
      <c r="Q25" s="4">
        <f t="shared" ca="1" si="2"/>
        <v>254</v>
      </c>
      <c r="R25" s="5">
        <v>46505</v>
      </c>
      <c r="S25" s="4">
        <f t="shared" ca="1" si="3"/>
        <v>244</v>
      </c>
      <c r="T25" s="4" t="s">
        <v>52</v>
      </c>
      <c r="U25" s="4">
        <v>564701656</v>
      </c>
    </row>
    <row r="26" spans="1:21">
      <c r="A26" s="4">
        <v>22</v>
      </c>
      <c r="B26" s="4">
        <v>100711</v>
      </c>
      <c r="C26" s="4" t="s">
        <v>85</v>
      </c>
      <c r="D26" s="4">
        <v>2409104953</v>
      </c>
      <c r="E26" s="4" t="s">
        <v>15</v>
      </c>
      <c r="F26" s="4" t="s">
        <v>86</v>
      </c>
      <c r="G26" s="4">
        <v>2023</v>
      </c>
      <c r="H26" s="4" t="s">
        <v>18</v>
      </c>
      <c r="I26" s="4">
        <v>8</v>
      </c>
      <c r="J26" s="4">
        <v>3</v>
      </c>
      <c r="K26" s="4">
        <v>538754020</v>
      </c>
      <c r="L26" s="5">
        <v>46321</v>
      </c>
      <c r="M26" s="4">
        <f t="shared" ca="1" si="0"/>
        <v>60</v>
      </c>
      <c r="N26" s="5">
        <v>46398</v>
      </c>
      <c r="O26" s="4">
        <f t="shared" ca="1" si="4"/>
        <v>137</v>
      </c>
      <c r="P26" s="5">
        <v>46515</v>
      </c>
      <c r="Q26" s="4">
        <f t="shared" ca="1" si="2"/>
        <v>254</v>
      </c>
      <c r="R26" s="5">
        <v>46505</v>
      </c>
      <c r="S26" s="4">
        <f t="shared" ca="1" si="3"/>
        <v>244</v>
      </c>
      <c r="T26" s="4" t="s">
        <v>52</v>
      </c>
      <c r="U26" s="4">
        <v>567428582</v>
      </c>
    </row>
    <row r="27" spans="1:21">
      <c r="A27" s="4">
        <v>23</v>
      </c>
      <c r="B27" s="4">
        <v>101958</v>
      </c>
      <c r="C27" s="4" t="s">
        <v>87</v>
      </c>
      <c r="D27" s="4">
        <v>2512564010</v>
      </c>
      <c r="E27" s="4" t="s">
        <v>15</v>
      </c>
      <c r="F27" s="4" t="s">
        <v>88</v>
      </c>
      <c r="G27" s="4">
        <v>2023</v>
      </c>
      <c r="H27" s="4" t="s">
        <v>18</v>
      </c>
      <c r="I27" s="4">
        <v>8</v>
      </c>
      <c r="J27" s="4">
        <v>3</v>
      </c>
      <c r="K27" s="4">
        <v>395065910</v>
      </c>
      <c r="L27" s="5">
        <v>47027</v>
      </c>
      <c r="M27" s="4">
        <f t="shared" ca="1" si="0"/>
        <v>766</v>
      </c>
      <c r="N27" s="5">
        <v>46997</v>
      </c>
      <c r="O27" s="4">
        <f t="shared" ca="1" si="4"/>
        <v>736</v>
      </c>
      <c r="P27" s="5">
        <v>46515</v>
      </c>
      <c r="Q27" s="4">
        <f t="shared" ca="1" si="2"/>
        <v>254</v>
      </c>
      <c r="R27" s="5">
        <v>46515</v>
      </c>
      <c r="S27" s="4">
        <f t="shared" ca="1" si="3"/>
        <v>254</v>
      </c>
      <c r="T27" s="4" t="s">
        <v>52</v>
      </c>
      <c r="U27" s="4">
        <v>530727974</v>
      </c>
    </row>
    <row r="28" spans="1:21">
      <c r="A28" s="4">
        <v>24</v>
      </c>
      <c r="B28" s="4">
        <v>100249</v>
      </c>
      <c r="C28" s="4" t="s">
        <v>89</v>
      </c>
      <c r="D28" s="4">
        <v>2255207751</v>
      </c>
      <c r="E28" s="4" t="s">
        <v>15</v>
      </c>
      <c r="F28" s="4" t="s">
        <v>90</v>
      </c>
      <c r="G28" s="4">
        <v>2023</v>
      </c>
      <c r="H28" s="4" t="s">
        <v>18</v>
      </c>
      <c r="I28" s="4">
        <v>8</v>
      </c>
      <c r="J28" s="4">
        <v>3</v>
      </c>
      <c r="K28" s="4">
        <v>186065910</v>
      </c>
      <c r="L28" s="5">
        <v>46413</v>
      </c>
      <c r="M28" s="4">
        <f t="shared" ca="1" si="0"/>
        <v>152</v>
      </c>
      <c r="N28" s="5">
        <v>46997</v>
      </c>
      <c r="O28" s="4">
        <f t="shared" ca="1" si="4"/>
        <v>736</v>
      </c>
      <c r="P28" s="5">
        <v>46515</v>
      </c>
      <c r="Q28" s="4">
        <f t="shared" ca="1" si="2"/>
        <v>254</v>
      </c>
      <c r="R28" s="5">
        <v>46515</v>
      </c>
      <c r="S28" s="4">
        <f t="shared" ca="1" si="3"/>
        <v>254</v>
      </c>
      <c r="T28" s="4" t="s">
        <v>52</v>
      </c>
      <c r="U28" s="4">
        <v>502219743</v>
      </c>
    </row>
    <row r="29" spans="1:21">
      <c r="A29" s="4">
        <v>25</v>
      </c>
      <c r="B29" s="4">
        <v>100714</v>
      </c>
      <c r="C29" s="4" t="s">
        <v>91</v>
      </c>
      <c r="D29" s="4">
        <v>2441374739</v>
      </c>
      <c r="E29" s="4" t="s">
        <v>15</v>
      </c>
      <c r="F29" s="4" t="s">
        <v>92</v>
      </c>
      <c r="G29" s="4">
        <v>2020</v>
      </c>
      <c r="H29" s="4" t="s">
        <v>19</v>
      </c>
      <c r="I29" s="4">
        <v>4</v>
      </c>
      <c r="J29" s="4">
        <v>3</v>
      </c>
      <c r="K29" s="4">
        <v>427860810</v>
      </c>
      <c r="L29" s="5">
        <v>46637</v>
      </c>
      <c r="M29" s="4">
        <f t="shared" ca="1" si="0"/>
        <v>376</v>
      </c>
      <c r="N29" s="5">
        <v>46272</v>
      </c>
      <c r="O29" s="4">
        <f t="shared" ca="1" si="4"/>
        <v>11</v>
      </c>
      <c r="P29" s="5">
        <v>46515</v>
      </c>
      <c r="Q29" s="4">
        <f t="shared" ca="1" si="2"/>
        <v>254</v>
      </c>
      <c r="R29" s="5">
        <v>46515</v>
      </c>
      <c r="S29" s="4">
        <f t="shared" ca="1" si="3"/>
        <v>254</v>
      </c>
      <c r="T29" s="4" t="s">
        <v>52</v>
      </c>
      <c r="U29" s="4">
        <v>530658749</v>
      </c>
    </row>
    <row r="30" spans="1:21">
      <c r="A30" s="4">
        <v>26</v>
      </c>
      <c r="B30" s="4">
        <v>100237</v>
      </c>
      <c r="C30" s="4" t="s">
        <v>93</v>
      </c>
      <c r="D30" s="4">
        <v>2317876015</v>
      </c>
      <c r="E30" s="4" t="s">
        <v>15</v>
      </c>
      <c r="F30" s="4" t="s">
        <v>94</v>
      </c>
      <c r="G30" s="4">
        <v>2016</v>
      </c>
      <c r="H30" s="4" t="s">
        <v>20</v>
      </c>
      <c r="I30" s="4">
        <v>8</v>
      </c>
      <c r="J30" s="4">
        <v>2</v>
      </c>
      <c r="K30" s="4">
        <v>621809610</v>
      </c>
      <c r="L30" s="5">
        <v>46641</v>
      </c>
      <c r="M30" s="4">
        <f t="shared" ca="1" si="0"/>
        <v>380</v>
      </c>
      <c r="N30" s="5">
        <v>46275</v>
      </c>
      <c r="O30" s="4">
        <f t="shared" ca="1" si="4"/>
        <v>14</v>
      </c>
      <c r="P30" s="5">
        <v>46515</v>
      </c>
      <c r="Q30" s="4">
        <f t="shared" ca="1" si="2"/>
        <v>254</v>
      </c>
      <c r="R30" s="5">
        <v>46515</v>
      </c>
      <c r="S30" s="4">
        <f t="shared" ca="1" si="3"/>
        <v>254</v>
      </c>
      <c r="T30" s="4" t="s">
        <v>52</v>
      </c>
      <c r="U30" s="4">
        <v>551575512</v>
      </c>
    </row>
    <row r="31" spans="1:21">
      <c r="A31" s="4">
        <v>27</v>
      </c>
      <c r="B31" s="4">
        <v>100231</v>
      </c>
      <c r="C31" s="4" t="s">
        <v>95</v>
      </c>
      <c r="D31" s="4">
        <v>2255854875</v>
      </c>
      <c r="E31" s="4" t="s">
        <v>15</v>
      </c>
      <c r="F31" s="4" t="s">
        <v>96</v>
      </c>
      <c r="G31" s="4">
        <v>2023</v>
      </c>
      <c r="H31" s="4" t="s">
        <v>19</v>
      </c>
      <c r="I31" s="4">
        <v>4</v>
      </c>
      <c r="J31" s="4">
        <v>2</v>
      </c>
      <c r="K31" s="4">
        <v>539819910</v>
      </c>
      <c r="L31" s="5">
        <v>46433</v>
      </c>
      <c r="M31" s="4">
        <f t="shared" ca="1" si="0"/>
        <v>172</v>
      </c>
      <c r="N31" s="5">
        <v>47210</v>
      </c>
      <c r="O31" s="4">
        <f t="shared" ca="1" si="4"/>
        <v>949</v>
      </c>
      <c r="P31" s="5">
        <v>46516</v>
      </c>
      <c r="Q31" s="4">
        <f t="shared" ca="1" si="2"/>
        <v>255</v>
      </c>
      <c r="R31" s="5">
        <v>46515</v>
      </c>
      <c r="S31" s="4">
        <f t="shared" ca="1" si="3"/>
        <v>254</v>
      </c>
      <c r="T31" s="4" t="s">
        <v>52</v>
      </c>
      <c r="U31" s="4">
        <v>570947069</v>
      </c>
    </row>
    <row r="32" spans="1:21">
      <c r="A32" s="4">
        <v>28</v>
      </c>
      <c r="B32" s="4">
        <v>100729</v>
      </c>
      <c r="C32" s="4" t="s">
        <v>97</v>
      </c>
      <c r="D32" s="4">
        <v>2441375439</v>
      </c>
      <c r="E32" s="4" t="s">
        <v>15</v>
      </c>
      <c r="F32" s="4" t="s">
        <v>98</v>
      </c>
      <c r="G32" s="4">
        <v>2023</v>
      </c>
      <c r="H32" s="4" t="s">
        <v>21</v>
      </c>
      <c r="I32" s="4">
        <v>4</v>
      </c>
      <c r="J32" s="4">
        <v>3</v>
      </c>
      <c r="K32" s="4">
        <v>829737020</v>
      </c>
      <c r="L32" s="5">
        <v>46623</v>
      </c>
      <c r="M32" s="4">
        <f t="shared" ca="1" si="0"/>
        <v>362</v>
      </c>
      <c r="N32" s="5">
        <v>46499</v>
      </c>
      <c r="O32" s="4">
        <f t="shared" ca="1" si="4"/>
        <v>238</v>
      </c>
      <c r="P32" s="5">
        <v>46313</v>
      </c>
      <c r="Q32" s="4">
        <f t="shared" ca="1" si="2"/>
        <v>52</v>
      </c>
      <c r="R32" s="5">
        <v>46316</v>
      </c>
      <c r="S32" s="4">
        <f t="shared" ca="1" si="3"/>
        <v>55</v>
      </c>
      <c r="T32" s="4" t="s">
        <v>52</v>
      </c>
      <c r="U32" s="4">
        <v>563480939</v>
      </c>
    </row>
    <row r="33" spans="1:21">
      <c r="A33" s="4">
        <v>29</v>
      </c>
      <c r="B33" s="4">
        <v>100574</v>
      </c>
      <c r="C33" s="4" t="s">
        <v>99</v>
      </c>
      <c r="D33" s="4">
        <v>2441077944</v>
      </c>
      <c r="E33" s="4" t="s">
        <v>16</v>
      </c>
      <c r="F33" s="4" t="s">
        <v>100</v>
      </c>
      <c r="G33" s="4">
        <v>2024</v>
      </c>
      <c r="H33" s="4" t="s">
        <v>17</v>
      </c>
      <c r="I33" s="4">
        <v>4</v>
      </c>
      <c r="J33" s="4">
        <v>3</v>
      </c>
      <c r="K33" s="4">
        <v>761431120</v>
      </c>
      <c r="L33" s="5">
        <v>46478</v>
      </c>
      <c r="M33" s="4">
        <f t="shared" ca="1" si="0"/>
        <v>217</v>
      </c>
      <c r="N33" s="5">
        <v>46592</v>
      </c>
      <c r="O33" s="4">
        <f t="shared" ca="1" si="4"/>
        <v>331</v>
      </c>
      <c r="P33" s="5">
        <v>46543</v>
      </c>
      <c r="Q33" s="4">
        <f t="shared" ca="1" si="2"/>
        <v>282</v>
      </c>
      <c r="R33" s="5">
        <v>46515</v>
      </c>
      <c r="S33" s="4">
        <f t="shared" ca="1" si="3"/>
        <v>254</v>
      </c>
      <c r="T33" s="4" t="s">
        <v>52</v>
      </c>
      <c r="U33" s="4">
        <v>576559794</v>
      </c>
    </row>
  </sheetData>
  <mergeCells count="2">
    <mergeCell ref="A1:U1"/>
    <mergeCell ref="A2:B2"/>
  </mergeCells>
  <conditionalFormatting sqref="M5:M33">
    <cfRule type="cellIs" dxfId="20" priority="5" operator="lessThan">
      <formula>0</formula>
    </cfRule>
    <cfRule type="cellIs" dxfId="19" priority="6" operator="between">
      <formula>0</formula>
      <formula>30</formula>
    </cfRule>
    <cfRule type="cellIs" dxfId="18" priority="7" operator="greaterThan">
      <formula>30</formula>
    </cfRule>
  </conditionalFormatting>
  <conditionalFormatting sqref="O5:O33">
    <cfRule type="cellIs" dxfId="17" priority="8" operator="lessThan">
      <formula>0</formula>
    </cfRule>
    <cfRule type="cellIs" dxfId="16" priority="9" operator="between">
      <formula>0</formula>
      <formula>30</formula>
    </cfRule>
    <cfRule type="cellIs" dxfId="15" priority="10" operator="greaterThan">
      <formula>30</formula>
    </cfRule>
  </conditionalFormatting>
  <conditionalFormatting sqref="Q5:Q33">
    <cfRule type="cellIs" dxfId="14" priority="2" operator="lessThan">
      <formula>0</formula>
    </cfRule>
    <cfRule type="cellIs" dxfId="13" priority="3" operator="between">
      <formula>0</formula>
      <formula>30</formula>
    </cfRule>
    <cfRule type="cellIs" dxfId="12" priority="4" operator="greaterThan">
      <formula>30</formula>
    </cfRule>
  </conditionalFormatting>
  <conditionalFormatting sqref="S5:S33">
    <cfRule type="cellIs" dxfId="11" priority="11" operator="lessThan">
      <formula>0</formula>
    </cfRule>
    <cfRule type="cellIs" dxfId="10" priority="12" operator="between">
      <formula>0</formula>
      <formula>30</formula>
    </cfRule>
    <cfRule type="cellIs" dxfId="9" priority="13" operator="greaterThan">
      <formula>30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rightToLeft="1" topLeftCell="A40" zoomScaleNormal="100" workbookViewId="0">
      <selection activeCell="C63" sqref="C63"/>
    </sheetView>
  </sheetViews>
  <sheetFormatPr defaultColWidth="8.7109375" defaultRowHeight="15"/>
  <cols>
    <col min="1" max="1" width="7.5703125" style="44" customWidth="1"/>
    <col min="2" max="2" width="17.140625" style="44" customWidth="1"/>
    <col min="3" max="3" width="17.5703125" style="44" customWidth="1"/>
    <col min="4" max="4" width="26.42578125" style="44" customWidth="1"/>
  </cols>
  <sheetData>
    <row r="1" spans="1:4">
      <c r="A1" s="16" t="s">
        <v>9</v>
      </c>
      <c r="B1" s="16" t="s">
        <v>25</v>
      </c>
      <c r="C1" s="16" t="s">
        <v>26</v>
      </c>
      <c r="D1" s="17" t="s">
        <v>101</v>
      </c>
    </row>
    <row r="2" spans="1:4">
      <c r="A2" s="18">
        <v>1</v>
      </c>
      <c r="B2" s="19" t="s">
        <v>102</v>
      </c>
      <c r="C2" s="19" t="s">
        <v>103</v>
      </c>
      <c r="D2" s="19" t="s">
        <v>104</v>
      </c>
    </row>
    <row r="3" spans="1:4">
      <c r="A3" s="18">
        <v>2</v>
      </c>
      <c r="B3" s="19" t="s">
        <v>105</v>
      </c>
      <c r="C3" s="19" t="s">
        <v>106</v>
      </c>
      <c r="D3" s="19" t="s">
        <v>107</v>
      </c>
    </row>
    <row r="4" spans="1:4">
      <c r="A4" s="18">
        <v>3</v>
      </c>
      <c r="B4" s="19" t="s">
        <v>108</v>
      </c>
      <c r="C4" s="19" t="s">
        <v>109</v>
      </c>
      <c r="D4" s="19" t="s">
        <v>110</v>
      </c>
    </row>
    <row r="5" spans="1:4">
      <c r="A5" s="18">
        <v>4</v>
      </c>
      <c r="B5" s="19" t="s">
        <v>111</v>
      </c>
      <c r="C5" s="19" t="s">
        <v>112</v>
      </c>
      <c r="D5" s="19" t="s">
        <v>113</v>
      </c>
    </row>
    <row r="6" spans="1:4">
      <c r="A6" s="18">
        <v>5</v>
      </c>
      <c r="B6" s="19" t="s">
        <v>114</v>
      </c>
      <c r="C6" s="19" t="s">
        <v>115</v>
      </c>
      <c r="D6" s="19" t="s">
        <v>116</v>
      </c>
    </row>
    <row r="7" spans="1:4">
      <c r="A7" s="18">
        <v>6</v>
      </c>
      <c r="B7" s="19" t="s">
        <v>117</v>
      </c>
      <c r="C7" s="19" t="s">
        <v>118</v>
      </c>
      <c r="D7" s="19" t="s">
        <v>119</v>
      </c>
    </row>
    <row r="8" spans="1:4">
      <c r="A8" s="18">
        <v>7</v>
      </c>
      <c r="B8" s="19" t="s">
        <v>120</v>
      </c>
      <c r="C8" s="19" t="s">
        <v>121</v>
      </c>
      <c r="D8" s="19" t="s">
        <v>122</v>
      </c>
    </row>
    <row r="9" spans="1:4">
      <c r="A9" s="18">
        <v>8</v>
      </c>
      <c r="B9" s="19" t="s">
        <v>123</v>
      </c>
      <c r="C9" s="19" t="s">
        <v>124</v>
      </c>
      <c r="D9" s="19" t="s">
        <v>125</v>
      </c>
    </row>
    <row r="10" spans="1:4" ht="25.5" customHeight="1">
      <c r="A10" s="18">
        <v>9</v>
      </c>
      <c r="B10" s="19" t="s">
        <v>126</v>
      </c>
      <c r="C10" s="19" t="s">
        <v>127</v>
      </c>
      <c r="D10" s="19" t="s">
        <v>128</v>
      </c>
    </row>
    <row r="11" spans="1:4">
      <c r="A11" s="18">
        <v>10</v>
      </c>
      <c r="B11" s="19" t="s">
        <v>129</v>
      </c>
      <c r="C11" s="19" t="s">
        <v>130</v>
      </c>
      <c r="D11" s="19" t="s">
        <v>131</v>
      </c>
    </row>
    <row r="12" spans="1:4">
      <c r="A12" s="18">
        <v>11</v>
      </c>
      <c r="B12" s="19" t="s">
        <v>132</v>
      </c>
      <c r="C12" s="19" t="s">
        <v>133</v>
      </c>
      <c r="D12" s="19" t="s">
        <v>134</v>
      </c>
    </row>
    <row r="13" spans="1:4">
      <c r="A13" s="18">
        <v>12</v>
      </c>
      <c r="B13" s="19" t="s">
        <v>135</v>
      </c>
      <c r="C13" s="19" t="s">
        <v>136</v>
      </c>
      <c r="D13" s="19" t="s">
        <v>137</v>
      </c>
    </row>
    <row r="14" spans="1:4" ht="25.5" customHeight="1">
      <c r="A14" s="18">
        <v>13</v>
      </c>
      <c r="B14" s="19" t="s">
        <v>138</v>
      </c>
      <c r="C14" s="19" t="s">
        <v>139</v>
      </c>
      <c r="D14" s="19" t="s">
        <v>140</v>
      </c>
    </row>
    <row r="15" spans="1:4">
      <c r="A15" s="18">
        <v>14</v>
      </c>
      <c r="B15" s="19" t="s">
        <v>53</v>
      </c>
      <c r="C15" s="19" t="s">
        <v>141</v>
      </c>
      <c r="D15" s="19" t="s">
        <v>142</v>
      </c>
    </row>
    <row r="16" spans="1:4">
      <c r="A16" s="18">
        <v>15</v>
      </c>
      <c r="B16" s="19" t="s">
        <v>143</v>
      </c>
      <c r="C16" s="19" t="s">
        <v>144</v>
      </c>
      <c r="D16" s="19" t="s">
        <v>145</v>
      </c>
    </row>
    <row r="17" spans="1:4" ht="25.5" customHeight="1">
      <c r="A17" s="18">
        <v>16</v>
      </c>
      <c r="B17" s="19" t="s">
        <v>146</v>
      </c>
      <c r="C17" s="19" t="s">
        <v>147</v>
      </c>
      <c r="D17" s="19" t="s">
        <v>148</v>
      </c>
    </row>
    <row r="18" spans="1:4">
      <c r="A18" s="18">
        <v>17</v>
      </c>
      <c r="B18" s="19" t="s">
        <v>65</v>
      </c>
      <c r="C18" s="19" t="s">
        <v>149</v>
      </c>
      <c r="D18" s="20">
        <v>33263</v>
      </c>
    </row>
    <row r="19" spans="1:4">
      <c r="A19" s="18">
        <v>18</v>
      </c>
      <c r="B19" s="19" t="s">
        <v>150</v>
      </c>
      <c r="C19" s="19" t="s">
        <v>151</v>
      </c>
      <c r="D19" s="19" t="s">
        <v>152</v>
      </c>
    </row>
    <row r="20" spans="1:4" ht="25.5" customHeight="1">
      <c r="A20" s="18">
        <v>19</v>
      </c>
      <c r="B20" s="19" t="s">
        <v>153</v>
      </c>
      <c r="C20" s="19" t="s">
        <v>154</v>
      </c>
      <c r="D20" s="19" t="s">
        <v>155</v>
      </c>
    </row>
    <row r="21" spans="1:4">
      <c r="A21" s="18">
        <v>20</v>
      </c>
      <c r="B21" s="19" t="s">
        <v>61</v>
      </c>
      <c r="C21" s="19" t="s">
        <v>156</v>
      </c>
      <c r="D21" s="19" t="s">
        <v>157</v>
      </c>
    </row>
    <row r="22" spans="1:4" ht="25.5" customHeight="1">
      <c r="A22" s="18">
        <v>21</v>
      </c>
      <c r="B22" s="19" t="s">
        <v>158</v>
      </c>
      <c r="C22" s="19" t="s">
        <v>159</v>
      </c>
      <c r="D22" s="19" t="s">
        <v>160</v>
      </c>
    </row>
    <row r="23" spans="1:4" ht="25.5" customHeight="1">
      <c r="A23" s="18">
        <v>22</v>
      </c>
      <c r="B23" s="19" t="s">
        <v>161</v>
      </c>
      <c r="C23" s="19" t="s">
        <v>162</v>
      </c>
      <c r="D23" s="19" t="s">
        <v>163</v>
      </c>
    </row>
    <row r="24" spans="1:4">
      <c r="A24" s="18">
        <v>23</v>
      </c>
      <c r="B24" s="19" t="s">
        <v>164</v>
      </c>
      <c r="C24" s="19" t="s">
        <v>165</v>
      </c>
      <c r="D24" s="19" t="s">
        <v>166</v>
      </c>
    </row>
    <row r="25" spans="1:4">
      <c r="A25" s="18">
        <v>24</v>
      </c>
      <c r="B25" s="19" t="s">
        <v>167</v>
      </c>
      <c r="C25" s="19" t="s">
        <v>168</v>
      </c>
      <c r="D25" s="19" t="s">
        <v>169</v>
      </c>
    </row>
    <row r="26" spans="1:4">
      <c r="A26" s="18">
        <v>25</v>
      </c>
      <c r="B26" s="19" t="s">
        <v>170</v>
      </c>
      <c r="C26" s="19" t="s">
        <v>171</v>
      </c>
      <c r="D26" s="19" t="s">
        <v>172</v>
      </c>
    </row>
    <row r="27" spans="1:4">
      <c r="A27" s="18">
        <v>26</v>
      </c>
      <c r="B27" s="19" t="s">
        <v>173</v>
      </c>
      <c r="C27" s="19" t="s">
        <v>174</v>
      </c>
      <c r="D27" s="19" t="s">
        <v>175</v>
      </c>
    </row>
    <row r="28" spans="1:4" ht="25.5" customHeight="1">
      <c r="A28" s="18">
        <v>27</v>
      </c>
      <c r="B28" s="19" t="s">
        <v>176</v>
      </c>
      <c r="C28" s="19" t="s">
        <v>177</v>
      </c>
      <c r="D28" s="19" t="s">
        <v>178</v>
      </c>
    </row>
    <row r="29" spans="1:4" ht="25.5" customHeight="1">
      <c r="A29" s="18">
        <v>28</v>
      </c>
      <c r="B29" s="19" t="s">
        <v>179</v>
      </c>
      <c r="C29" s="19" t="s">
        <v>180</v>
      </c>
      <c r="D29" s="19" t="s">
        <v>181</v>
      </c>
    </row>
    <row r="30" spans="1:4" ht="25.5" customHeight="1">
      <c r="A30" s="18">
        <v>29</v>
      </c>
      <c r="B30" s="19" t="s">
        <v>99</v>
      </c>
      <c r="C30" s="19" t="s">
        <v>182</v>
      </c>
      <c r="D30" s="19" t="s">
        <v>183</v>
      </c>
    </row>
    <row r="31" spans="1:4">
      <c r="A31" s="18">
        <v>30</v>
      </c>
      <c r="B31" s="19" t="s">
        <v>39</v>
      </c>
      <c r="C31" s="19" t="s">
        <v>184</v>
      </c>
      <c r="D31" s="19" t="s">
        <v>185</v>
      </c>
    </row>
    <row r="32" spans="1:4">
      <c r="A32" s="18">
        <v>31</v>
      </c>
      <c r="B32" s="19" t="s">
        <v>73</v>
      </c>
      <c r="C32" s="19" t="s">
        <v>186</v>
      </c>
      <c r="D32" s="19" t="s">
        <v>187</v>
      </c>
    </row>
    <row r="33" spans="1:4">
      <c r="A33" s="18">
        <v>32</v>
      </c>
      <c r="B33" s="19" t="s">
        <v>188</v>
      </c>
      <c r="C33" s="19" t="s">
        <v>189</v>
      </c>
      <c r="D33" s="19" t="s">
        <v>190</v>
      </c>
    </row>
    <row r="34" spans="1:4" ht="25.5" customHeight="1">
      <c r="A34" s="18">
        <v>33</v>
      </c>
      <c r="B34" s="19" t="s">
        <v>191</v>
      </c>
      <c r="C34" s="19" t="s">
        <v>192</v>
      </c>
      <c r="D34" s="19" t="s">
        <v>193</v>
      </c>
    </row>
    <row r="35" spans="1:4" ht="25.5" customHeight="1">
      <c r="A35" s="18">
        <v>34</v>
      </c>
      <c r="B35" s="19" t="s">
        <v>194</v>
      </c>
      <c r="C35" s="19" t="s">
        <v>195</v>
      </c>
      <c r="D35" s="19" t="s">
        <v>196</v>
      </c>
    </row>
    <row r="36" spans="1:4" ht="25.5" customHeight="1">
      <c r="A36" s="18">
        <v>35</v>
      </c>
      <c r="B36" s="19" t="s">
        <v>197</v>
      </c>
      <c r="C36" s="19" t="s">
        <v>198</v>
      </c>
      <c r="D36" s="19" t="s">
        <v>199</v>
      </c>
    </row>
    <row r="37" spans="1:4">
      <c r="A37" s="18">
        <v>36</v>
      </c>
      <c r="B37" s="19" t="s">
        <v>200</v>
      </c>
      <c r="C37" s="19" t="s">
        <v>201</v>
      </c>
      <c r="D37" s="19" t="s">
        <v>202</v>
      </c>
    </row>
    <row r="38" spans="1:4">
      <c r="A38" s="18">
        <v>37</v>
      </c>
      <c r="B38" s="19" t="s">
        <v>203</v>
      </c>
      <c r="C38" s="19" t="s">
        <v>204</v>
      </c>
      <c r="D38" s="19" t="s">
        <v>205</v>
      </c>
    </row>
    <row r="39" spans="1:4">
      <c r="A39" s="18">
        <v>38</v>
      </c>
      <c r="B39" s="19" t="s">
        <v>206</v>
      </c>
      <c r="C39" s="19" t="s">
        <v>207</v>
      </c>
      <c r="D39" s="19" t="s">
        <v>208</v>
      </c>
    </row>
    <row r="40" spans="1:4" ht="25.5" customHeight="1">
      <c r="A40" s="18">
        <v>39</v>
      </c>
      <c r="B40" s="19" t="s">
        <v>209</v>
      </c>
      <c r="C40" s="19" t="s">
        <v>210</v>
      </c>
      <c r="D40" s="19" t="s">
        <v>211</v>
      </c>
    </row>
    <row r="41" spans="1:4">
      <c r="A41" s="18">
        <v>40</v>
      </c>
      <c r="B41" s="19" t="s">
        <v>212</v>
      </c>
      <c r="C41" s="19" t="s">
        <v>213</v>
      </c>
      <c r="D41" s="19" t="s">
        <v>214</v>
      </c>
    </row>
    <row r="42" spans="1:4">
      <c r="A42" s="18">
        <v>41</v>
      </c>
      <c r="B42" s="19" t="s">
        <v>215</v>
      </c>
      <c r="C42" s="19" t="s">
        <v>216</v>
      </c>
      <c r="D42" s="19" t="s">
        <v>217</v>
      </c>
    </row>
    <row r="43" spans="1:4">
      <c r="A43" s="18">
        <v>42</v>
      </c>
      <c r="B43" s="19" t="s">
        <v>218</v>
      </c>
      <c r="C43" s="19" t="s">
        <v>219</v>
      </c>
      <c r="D43" s="19" t="s">
        <v>220</v>
      </c>
    </row>
    <row r="44" spans="1:4" ht="25.5" customHeight="1">
      <c r="A44" s="18">
        <v>43</v>
      </c>
      <c r="B44" s="19" t="s">
        <v>221</v>
      </c>
      <c r="C44" s="19" t="s">
        <v>222</v>
      </c>
      <c r="D44" s="19" t="s">
        <v>223</v>
      </c>
    </row>
    <row r="45" spans="1:4" ht="25.5" customHeight="1">
      <c r="A45" s="18">
        <v>44</v>
      </c>
      <c r="B45" s="19" t="s">
        <v>224</v>
      </c>
      <c r="C45" s="19" t="s">
        <v>225</v>
      </c>
      <c r="D45" s="19" t="s">
        <v>226</v>
      </c>
    </row>
    <row r="46" spans="1:4">
      <c r="A46" s="18">
        <v>45</v>
      </c>
      <c r="B46" s="19" t="s">
        <v>227</v>
      </c>
      <c r="C46" s="19" t="s">
        <v>228</v>
      </c>
      <c r="D46" s="19" t="s">
        <v>229</v>
      </c>
    </row>
    <row r="47" spans="1:4">
      <c r="A47" s="18">
        <v>46</v>
      </c>
      <c r="B47" s="19" t="s">
        <v>230</v>
      </c>
      <c r="C47" s="19" t="s">
        <v>231</v>
      </c>
      <c r="D47" s="19" t="s">
        <v>232</v>
      </c>
    </row>
    <row r="48" spans="1:4">
      <c r="A48" s="18">
        <v>47</v>
      </c>
      <c r="B48" s="19" t="s">
        <v>233</v>
      </c>
      <c r="C48" s="19" t="s">
        <v>234</v>
      </c>
      <c r="D48" s="19" t="s">
        <v>235</v>
      </c>
    </row>
    <row r="49" spans="1:4">
      <c r="A49" s="18">
        <v>48</v>
      </c>
      <c r="B49" s="19" t="s">
        <v>236</v>
      </c>
      <c r="C49" s="19" t="s">
        <v>237</v>
      </c>
      <c r="D49" s="19" t="s">
        <v>238</v>
      </c>
    </row>
    <row r="50" spans="1:4">
      <c r="A50" s="18">
        <v>49</v>
      </c>
      <c r="B50" s="19" t="s">
        <v>239</v>
      </c>
      <c r="C50" s="19" t="s">
        <v>240</v>
      </c>
      <c r="D50" s="19" t="s">
        <v>241</v>
      </c>
    </row>
    <row r="51" spans="1:4">
      <c r="A51" s="18">
        <v>50</v>
      </c>
      <c r="B51" s="19" t="s">
        <v>57</v>
      </c>
      <c r="C51" s="19" t="s">
        <v>242</v>
      </c>
      <c r="D51" s="19" t="s">
        <v>243</v>
      </c>
    </row>
    <row r="52" spans="1:4">
      <c r="A52" s="18">
        <v>51</v>
      </c>
      <c r="B52" s="19" t="s">
        <v>50</v>
      </c>
      <c r="C52" s="19" t="s">
        <v>244</v>
      </c>
      <c r="D52" s="19" t="s">
        <v>245</v>
      </c>
    </row>
    <row r="53" spans="1:4">
      <c r="A53" s="36">
        <v>52</v>
      </c>
      <c r="B53" s="19" t="s">
        <v>67</v>
      </c>
      <c r="C53" s="19" t="s">
        <v>246</v>
      </c>
      <c r="D53" s="19" t="s">
        <v>247</v>
      </c>
    </row>
    <row r="54" spans="1:4">
      <c r="A54" s="36">
        <v>53</v>
      </c>
      <c r="B54" s="19" t="s">
        <v>248</v>
      </c>
      <c r="C54" s="19" t="s">
        <v>249</v>
      </c>
      <c r="D54" s="19" t="s">
        <v>250</v>
      </c>
    </row>
    <row r="55" spans="1:4">
      <c r="A55" s="36">
        <v>54</v>
      </c>
      <c r="B55" s="19" t="s">
        <v>59</v>
      </c>
      <c r="C55" s="19" t="s">
        <v>251</v>
      </c>
      <c r="D55" s="19" t="s">
        <v>252</v>
      </c>
    </row>
    <row r="56" spans="1:4">
      <c r="A56" s="36">
        <v>55</v>
      </c>
      <c r="B56" s="19" t="s">
        <v>71</v>
      </c>
      <c r="C56" s="19" t="s">
        <v>253</v>
      </c>
      <c r="D56" s="19" t="s">
        <v>254</v>
      </c>
    </row>
    <row r="57" spans="1:4">
      <c r="A57" s="36">
        <v>56</v>
      </c>
      <c r="B57" s="19" t="s">
        <v>89</v>
      </c>
      <c r="C57" s="19" t="s">
        <v>255</v>
      </c>
      <c r="D57" s="19" t="s">
        <v>256</v>
      </c>
    </row>
    <row r="58" spans="1:4">
      <c r="A58" s="36">
        <v>57</v>
      </c>
      <c r="B58" s="19" t="s">
        <v>257</v>
      </c>
      <c r="C58" s="19" t="s">
        <v>258</v>
      </c>
      <c r="D58" s="19" t="s">
        <v>259</v>
      </c>
    </row>
    <row r="59" spans="1:4">
      <c r="A59" s="36">
        <v>58</v>
      </c>
      <c r="B59" s="19" t="s">
        <v>93</v>
      </c>
      <c r="C59" s="19" t="s">
        <v>260</v>
      </c>
      <c r="D59" s="19" t="s">
        <v>243</v>
      </c>
    </row>
    <row r="60" spans="1:4">
      <c r="A60" s="36">
        <v>59</v>
      </c>
      <c r="B60" s="19" t="s">
        <v>261</v>
      </c>
      <c r="C60" s="19" t="s">
        <v>262</v>
      </c>
      <c r="D60" s="19" t="s">
        <v>263</v>
      </c>
    </row>
    <row r="61" spans="1:4" ht="25.5" customHeight="1">
      <c r="A61" s="36">
        <v>60</v>
      </c>
      <c r="B61" s="19" t="s">
        <v>264</v>
      </c>
      <c r="C61" s="19" t="s">
        <v>265</v>
      </c>
      <c r="D61" s="19" t="s">
        <v>266</v>
      </c>
    </row>
    <row r="62" spans="1:4" ht="25.5" customHeight="1">
      <c r="A62" s="36">
        <v>61</v>
      </c>
      <c r="B62" s="19" t="s">
        <v>267</v>
      </c>
      <c r="C62" s="19" t="s">
        <v>268</v>
      </c>
      <c r="D62" s="19" t="s">
        <v>269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rightToLeft="1" zoomScale="81" zoomScaleNormal="81" workbookViewId="0">
      <selection activeCell="N32" sqref="N32"/>
    </sheetView>
  </sheetViews>
  <sheetFormatPr defaultColWidth="8.7109375" defaultRowHeight="15"/>
  <cols>
    <col min="3" max="3" width="17.28515625" style="44" customWidth="1"/>
    <col min="4" max="4" width="15.7109375" style="44" customWidth="1"/>
    <col min="5" max="5" width="12.5703125" customWidth="1"/>
    <col min="6" max="6" width="11.42578125" customWidth="1"/>
    <col min="7" max="7" width="13.85546875" customWidth="1"/>
    <col min="8" max="8" width="15.85546875" style="44" customWidth="1"/>
    <col min="9" max="9" width="11.28515625" style="44" customWidth="1"/>
    <col min="10" max="10" width="13" style="44" customWidth="1"/>
    <col min="11" max="11" width="11.5703125" style="44" customWidth="1"/>
    <col min="13" max="13" width="12.5703125" style="44" customWidth="1"/>
    <col min="15" max="15" width="24.140625" style="44" customWidth="1"/>
    <col min="16" max="16" width="16" style="44" customWidth="1"/>
  </cols>
  <sheetData>
    <row r="1" spans="1:16" ht="19.7" customHeight="1">
      <c r="A1" s="54" t="s">
        <v>270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2" spans="1:16" ht="15.75" customHeight="1">
      <c r="A2" s="68" t="s">
        <v>1</v>
      </c>
      <c r="B2" s="55"/>
      <c r="O2" s="2">
        <f ca="1">TODAY()</f>
        <v>46261</v>
      </c>
      <c r="P2" s="53" t="s">
        <v>2</v>
      </c>
    </row>
    <row r="4" spans="1:16" ht="45" customHeight="1">
      <c r="A4" s="13" t="s">
        <v>9</v>
      </c>
      <c r="B4" s="13" t="s">
        <v>24</v>
      </c>
      <c r="C4" s="13" t="s">
        <v>25</v>
      </c>
      <c r="D4" s="13" t="s">
        <v>26</v>
      </c>
      <c r="E4" s="13" t="s">
        <v>27</v>
      </c>
      <c r="F4" s="13" t="s">
        <v>11</v>
      </c>
      <c r="G4" s="13" t="s">
        <v>28</v>
      </c>
      <c r="H4" s="16" t="s">
        <v>29</v>
      </c>
      <c r="I4" s="13" t="s">
        <v>31</v>
      </c>
      <c r="J4" s="13" t="s">
        <v>32</v>
      </c>
      <c r="K4" s="13" t="s">
        <v>33</v>
      </c>
      <c r="L4" s="13" t="s">
        <v>14</v>
      </c>
      <c r="M4" s="13" t="s">
        <v>34</v>
      </c>
      <c r="N4" s="13" t="s">
        <v>14</v>
      </c>
      <c r="O4" s="13" t="s">
        <v>37</v>
      </c>
      <c r="P4" s="13" t="s">
        <v>38</v>
      </c>
    </row>
    <row r="5" spans="1:16">
      <c r="A5" s="4">
        <v>1</v>
      </c>
      <c r="B5" s="40">
        <v>100712</v>
      </c>
      <c r="C5" s="22" t="s">
        <v>114</v>
      </c>
      <c r="D5" s="23" t="s">
        <v>115</v>
      </c>
      <c r="E5" s="22" t="s">
        <v>271</v>
      </c>
      <c r="F5" s="40" t="s">
        <v>272</v>
      </c>
      <c r="G5" s="40">
        <v>2013</v>
      </c>
      <c r="H5" s="37" t="s">
        <v>273</v>
      </c>
      <c r="I5" s="25"/>
      <c r="J5" s="40">
        <v>91202310</v>
      </c>
      <c r="K5" s="24">
        <v>46368</v>
      </c>
      <c r="L5" s="25">
        <f t="shared" ref="L5:L31" ca="1" si="0">IF(ISNUMBER(K5),K5-TODAY(),"-")</f>
        <v>107</v>
      </c>
      <c r="M5" s="24">
        <v>45970</v>
      </c>
      <c r="N5" s="26">
        <f t="shared" ref="N5:N31" ca="1" si="1">IF(ISNUMBER(M5),M5-TODAY(),"-")</f>
        <v>-291</v>
      </c>
      <c r="O5" s="27" t="s">
        <v>274</v>
      </c>
      <c r="P5" s="25">
        <v>592619164</v>
      </c>
    </row>
    <row r="6" spans="1:16">
      <c r="A6" s="4">
        <v>2</v>
      </c>
      <c r="B6" s="40">
        <v>100939</v>
      </c>
      <c r="C6" s="22" t="s">
        <v>111</v>
      </c>
      <c r="D6" s="23" t="s">
        <v>112</v>
      </c>
      <c r="E6" s="22" t="s">
        <v>271</v>
      </c>
      <c r="F6" s="40" t="s">
        <v>275</v>
      </c>
      <c r="G6" s="40">
        <v>2018</v>
      </c>
      <c r="H6" s="37" t="s">
        <v>273</v>
      </c>
      <c r="I6" s="25"/>
      <c r="J6" s="40">
        <v>965759610</v>
      </c>
      <c r="K6" s="24">
        <v>46569</v>
      </c>
      <c r="L6" s="25">
        <f t="shared" ca="1" si="0"/>
        <v>308</v>
      </c>
      <c r="M6" s="24">
        <v>46665</v>
      </c>
      <c r="N6" s="28">
        <f t="shared" ca="1" si="1"/>
        <v>404</v>
      </c>
      <c r="O6" s="27" t="s">
        <v>274</v>
      </c>
      <c r="P6" s="25">
        <v>595731324</v>
      </c>
    </row>
    <row r="7" spans="1:16" ht="25.5" customHeight="1">
      <c r="A7" s="4">
        <v>3</v>
      </c>
      <c r="B7" s="40">
        <v>102816</v>
      </c>
      <c r="C7" s="22" t="s">
        <v>102</v>
      </c>
      <c r="D7" s="23" t="s">
        <v>103</v>
      </c>
      <c r="E7" s="25" t="s">
        <v>276</v>
      </c>
      <c r="F7" s="40" t="s">
        <v>277</v>
      </c>
      <c r="G7" s="40">
        <v>2016</v>
      </c>
      <c r="H7" s="37" t="s">
        <v>273</v>
      </c>
      <c r="I7" s="28"/>
      <c r="J7" s="40">
        <v>601482510</v>
      </c>
      <c r="K7" s="24">
        <v>46527</v>
      </c>
      <c r="L7" s="25">
        <f t="shared" ca="1" si="0"/>
        <v>266</v>
      </c>
      <c r="M7" s="24">
        <v>46754</v>
      </c>
      <c r="N7" s="28">
        <f t="shared" ca="1" si="1"/>
        <v>493</v>
      </c>
      <c r="O7" s="27" t="s">
        <v>274</v>
      </c>
      <c r="P7" s="25">
        <v>592312195</v>
      </c>
    </row>
    <row r="8" spans="1:16">
      <c r="A8" s="4">
        <v>4</v>
      </c>
      <c r="B8" s="40">
        <v>102324</v>
      </c>
      <c r="C8" s="22" t="s">
        <v>105</v>
      </c>
      <c r="D8" s="23" t="s">
        <v>106</v>
      </c>
      <c r="E8" s="22" t="s">
        <v>271</v>
      </c>
      <c r="F8" s="40" t="s">
        <v>278</v>
      </c>
      <c r="G8" s="40">
        <v>2013</v>
      </c>
      <c r="H8" s="37" t="s">
        <v>273</v>
      </c>
      <c r="I8" s="28"/>
      <c r="J8" s="40">
        <v>512202310</v>
      </c>
      <c r="K8" s="24">
        <v>46358</v>
      </c>
      <c r="L8" s="25">
        <f t="shared" ca="1" si="0"/>
        <v>97</v>
      </c>
      <c r="M8" s="24">
        <v>47033</v>
      </c>
      <c r="N8" s="28">
        <f t="shared" ca="1" si="1"/>
        <v>772</v>
      </c>
      <c r="O8" s="27" t="s">
        <v>274</v>
      </c>
      <c r="P8" s="25">
        <v>571082341</v>
      </c>
    </row>
    <row r="9" spans="1:16" ht="25.5" customHeight="1">
      <c r="A9" s="4">
        <v>5</v>
      </c>
      <c r="B9" s="40">
        <v>101866</v>
      </c>
      <c r="C9" s="22" t="s">
        <v>108</v>
      </c>
      <c r="D9" s="23" t="s">
        <v>109</v>
      </c>
      <c r="E9" s="22" t="s">
        <v>271</v>
      </c>
      <c r="F9" s="40" t="s">
        <v>279</v>
      </c>
      <c r="G9" s="40">
        <v>2016</v>
      </c>
      <c r="H9" s="37" t="s">
        <v>273</v>
      </c>
      <c r="I9" s="28"/>
      <c r="J9" s="40">
        <v>912482510</v>
      </c>
      <c r="K9" s="24">
        <v>46354</v>
      </c>
      <c r="L9" s="25">
        <f t="shared" ca="1" si="0"/>
        <v>93</v>
      </c>
      <c r="M9" s="24">
        <v>46754</v>
      </c>
      <c r="N9" s="28">
        <f t="shared" ca="1" si="1"/>
        <v>493</v>
      </c>
      <c r="O9" s="27" t="s">
        <v>274</v>
      </c>
      <c r="P9" s="25">
        <v>570157523</v>
      </c>
    </row>
    <row r="10" spans="1:16" ht="25.5" customHeight="1">
      <c r="A10" s="4">
        <v>6</v>
      </c>
      <c r="B10" s="40">
        <v>100982</v>
      </c>
      <c r="C10" s="22" t="s">
        <v>188</v>
      </c>
      <c r="D10" s="23" t="s">
        <v>189</v>
      </c>
      <c r="E10" s="22" t="s">
        <v>280</v>
      </c>
      <c r="F10" s="40" t="s">
        <v>281</v>
      </c>
      <c r="G10" s="40">
        <v>2009</v>
      </c>
      <c r="H10" s="37" t="s">
        <v>273</v>
      </c>
      <c r="I10" s="28"/>
      <c r="J10" s="40">
        <v>619501900</v>
      </c>
      <c r="K10" s="24">
        <v>46545</v>
      </c>
      <c r="L10" s="25">
        <f t="shared" ca="1" si="0"/>
        <v>284</v>
      </c>
      <c r="M10" s="24">
        <v>46225</v>
      </c>
      <c r="N10" s="28">
        <f t="shared" ca="1" si="1"/>
        <v>-36</v>
      </c>
      <c r="O10" s="27" t="s">
        <v>274</v>
      </c>
      <c r="P10" s="25">
        <v>544767971</v>
      </c>
    </row>
    <row r="11" spans="1:16" ht="25.5" customHeight="1">
      <c r="A11" s="4">
        <v>7</v>
      </c>
      <c r="B11" s="40">
        <v>100321</v>
      </c>
      <c r="C11" s="22" t="s">
        <v>117</v>
      </c>
      <c r="D11" s="23" t="s">
        <v>118</v>
      </c>
      <c r="E11" s="22" t="s">
        <v>282</v>
      </c>
      <c r="F11" s="40" t="s">
        <v>283</v>
      </c>
      <c r="G11" s="40">
        <v>2023</v>
      </c>
      <c r="H11" s="37" t="s">
        <v>273</v>
      </c>
      <c r="I11" s="28"/>
      <c r="J11" s="40">
        <v>885442020</v>
      </c>
      <c r="K11" s="24">
        <v>46314</v>
      </c>
      <c r="L11" s="25">
        <f t="shared" ca="1" si="0"/>
        <v>53</v>
      </c>
      <c r="M11" s="24">
        <v>46280</v>
      </c>
      <c r="N11" s="28">
        <f t="shared" ca="1" si="1"/>
        <v>19</v>
      </c>
      <c r="O11" s="27" t="s">
        <v>274</v>
      </c>
      <c r="P11" s="25">
        <v>533858352</v>
      </c>
    </row>
    <row r="12" spans="1:16" ht="25.5" customHeight="1">
      <c r="A12" s="4">
        <v>8</v>
      </c>
      <c r="B12" s="40">
        <v>101867</v>
      </c>
      <c r="C12" s="22" t="s">
        <v>233</v>
      </c>
      <c r="D12" s="23" t="s">
        <v>234</v>
      </c>
      <c r="E12" s="22" t="s">
        <v>271</v>
      </c>
      <c r="F12" s="40" t="s">
        <v>284</v>
      </c>
      <c r="G12" s="40">
        <v>2020</v>
      </c>
      <c r="H12" s="37" t="s">
        <v>273</v>
      </c>
      <c r="I12" s="28"/>
      <c r="J12" s="40">
        <v>174535710</v>
      </c>
      <c r="K12" s="24">
        <v>46577</v>
      </c>
      <c r="L12" s="25">
        <f t="shared" ca="1" si="0"/>
        <v>316</v>
      </c>
      <c r="M12" s="24">
        <v>47000</v>
      </c>
      <c r="N12" s="28">
        <f t="shared" ca="1" si="1"/>
        <v>739</v>
      </c>
      <c r="O12" s="27" t="s">
        <v>274</v>
      </c>
      <c r="P12" s="25">
        <v>570601213</v>
      </c>
    </row>
    <row r="13" spans="1:16" ht="38.25" customHeight="1">
      <c r="A13" s="4">
        <v>9</v>
      </c>
      <c r="B13" s="40">
        <v>102872</v>
      </c>
      <c r="C13" s="23" t="s">
        <v>285</v>
      </c>
      <c r="D13" s="23" t="s">
        <v>231</v>
      </c>
      <c r="E13" s="25" t="s">
        <v>271</v>
      </c>
      <c r="F13" s="40" t="s">
        <v>286</v>
      </c>
      <c r="G13" s="40">
        <v>2020</v>
      </c>
      <c r="H13" s="37" t="s">
        <v>273</v>
      </c>
      <c r="I13" s="28"/>
      <c r="J13" s="40">
        <v>644535710</v>
      </c>
      <c r="K13" s="24">
        <v>46533</v>
      </c>
      <c r="L13" s="25">
        <f t="shared" ca="1" si="0"/>
        <v>272</v>
      </c>
      <c r="M13" s="24">
        <v>47000</v>
      </c>
      <c r="N13" s="28">
        <f t="shared" ca="1" si="1"/>
        <v>739</v>
      </c>
      <c r="O13" s="27" t="s">
        <v>274</v>
      </c>
      <c r="P13" s="25">
        <v>570513092</v>
      </c>
    </row>
    <row r="14" spans="1:16" ht="25.5" customHeight="1">
      <c r="A14" s="4">
        <v>10</v>
      </c>
      <c r="B14" s="40">
        <v>102064</v>
      </c>
      <c r="C14" s="22" t="s">
        <v>287</v>
      </c>
      <c r="D14" s="23" t="s">
        <v>127</v>
      </c>
      <c r="E14" s="22" t="s">
        <v>276</v>
      </c>
      <c r="F14" s="40" t="s">
        <v>288</v>
      </c>
      <c r="G14" s="40">
        <v>2022</v>
      </c>
      <c r="H14" s="37" t="s">
        <v>289</v>
      </c>
      <c r="I14" s="28"/>
      <c r="J14" s="40">
        <v>94714910</v>
      </c>
      <c r="K14" s="24">
        <v>46177</v>
      </c>
      <c r="L14" s="25">
        <f t="shared" ca="1" si="0"/>
        <v>-84</v>
      </c>
      <c r="M14" s="24">
        <v>46985</v>
      </c>
      <c r="N14" s="28">
        <f t="shared" ca="1" si="1"/>
        <v>724</v>
      </c>
      <c r="O14" s="27" t="s">
        <v>290</v>
      </c>
      <c r="P14" s="25">
        <v>510138281</v>
      </c>
    </row>
    <row r="15" spans="1:16" ht="25.5" customHeight="1">
      <c r="A15" s="4">
        <v>11</v>
      </c>
      <c r="B15" s="41">
        <v>102135</v>
      </c>
      <c r="C15" s="22" t="s">
        <v>291</v>
      </c>
      <c r="D15" s="23" t="s">
        <v>195</v>
      </c>
      <c r="E15" s="22" t="s">
        <v>292</v>
      </c>
      <c r="F15" s="40" t="s">
        <v>293</v>
      </c>
      <c r="G15" s="40">
        <v>2015</v>
      </c>
      <c r="H15" s="37" t="s">
        <v>294</v>
      </c>
      <c r="I15" s="28"/>
      <c r="J15" s="40">
        <v>812220410</v>
      </c>
      <c r="K15" s="24">
        <v>46346</v>
      </c>
      <c r="L15" s="25">
        <f t="shared" ca="1" si="0"/>
        <v>85</v>
      </c>
      <c r="M15" s="24">
        <v>46286</v>
      </c>
      <c r="N15" s="28">
        <f t="shared" ca="1" si="1"/>
        <v>25</v>
      </c>
      <c r="O15" s="27" t="s">
        <v>274</v>
      </c>
      <c r="P15" s="25">
        <v>545909596</v>
      </c>
    </row>
    <row r="16" spans="1:16">
      <c r="A16" s="4">
        <v>12</v>
      </c>
      <c r="B16" s="41">
        <v>102657</v>
      </c>
      <c r="C16" s="22" t="s">
        <v>295</v>
      </c>
      <c r="D16" s="23" t="s">
        <v>192</v>
      </c>
      <c r="E16" s="22" t="s">
        <v>296</v>
      </c>
      <c r="F16" s="40" t="s">
        <v>297</v>
      </c>
      <c r="G16" s="40">
        <v>2022</v>
      </c>
      <c r="H16" s="37" t="s">
        <v>298</v>
      </c>
      <c r="I16" s="42"/>
      <c r="J16" s="40">
        <v>317833910</v>
      </c>
      <c r="K16" s="24">
        <v>46416</v>
      </c>
      <c r="L16" s="25">
        <f t="shared" ca="1" si="0"/>
        <v>155</v>
      </c>
      <c r="M16" s="24">
        <v>46949</v>
      </c>
      <c r="N16" s="28">
        <f t="shared" ca="1" si="1"/>
        <v>688</v>
      </c>
      <c r="O16" s="27" t="s">
        <v>274</v>
      </c>
      <c r="P16" s="25">
        <v>546008439</v>
      </c>
    </row>
    <row r="17" spans="1:16" ht="22.5" customHeight="1">
      <c r="A17" s="4">
        <v>13</v>
      </c>
      <c r="B17" s="40">
        <v>101937</v>
      </c>
      <c r="C17" s="22" t="s">
        <v>129</v>
      </c>
      <c r="D17" s="23" t="s">
        <v>130</v>
      </c>
      <c r="E17" s="22" t="s">
        <v>299</v>
      </c>
      <c r="F17" s="40" t="s">
        <v>300</v>
      </c>
      <c r="G17" s="40">
        <v>2023</v>
      </c>
      <c r="H17" s="37" t="s">
        <v>289</v>
      </c>
      <c r="I17" s="42"/>
      <c r="J17" s="40">
        <v>442111020</v>
      </c>
      <c r="K17" s="24">
        <v>46394</v>
      </c>
      <c r="L17" s="25">
        <f t="shared" ca="1" si="0"/>
        <v>133</v>
      </c>
      <c r="M17" s="24">
        <v>46232</v>
      </c>
      <c r="N17" s="28">
        <f t="shared" ca="1" si="1"/>
        <v>-29</v>
      </c>
      <c r="O17" s="27" t="s">
        <v>274</v>
      </c>
      <c r="P17" s="25">
        <v>548641880</v>
      </c>
    </row>
    <row r="18" spans="1:16" ht="25.5" customHeight="1">
      <c r="A18" s="4">
        <v>14</v>
      </c>
      <c r="B18" s="40">
        <v>102911</v>
      </c>
      <c r="C18" s="22" t="s">
        <v>301</v>
      </c>
      <c r="D18" s="23" t="s">
        <v>302</v>
      </c>
      <c r="E18" s="25" t="s">
        <v>303</v>
      </c>
      <c r="F18" s="40" t="s">
        <v>304</v>
      </c>
      <c r="G18" s="40">
        <v>2023</v>
      </c>
      <c r="H18" s="37" t="s">
        <v>289</v>
      </c>
      <c r="I18" s="42"/>
      <c r="J18" s="40">
        <v>662111020</v>
      </c>
      <c r="K18" s="24">
        <v>46613</v>
      </c>
      <c r="L18" s="25">
        <f t="shared" ca="1" si="0"/>
        <v>352</v>
      </c>
      <c r="M18" s="24">
        <v>47295</v>
      </c>
      <c r="N18" s="28">
        <f t="shared" ca="1" si="1"/>
        <v>1034</v>
      </c>
      <c r="O18" s="27" t="s">
        <v>274</v>
      </c>
      <c r="P18" s="25" t="s">
        <v>305</v>
      </c>
    </row>
    <row r="19" spans="1:16" ht="25.5" customHeight="1">
      <c r="A19" s="4">
        <v>15</v>
      </c>
      <c r="B19" s="40">
        <v>102325</v>
      </c>
      <c r="C19" s="22" t="s">
        <v>120</v>
      </c>
      <c r="D19" s="23" t="s">
        <v>121</v>
      </c>
      <c r="E19" s="22" t="s">
        <v>271</v>
      </c>
      <c r="F19" s="40" t="s">
        <v>306</v>
      </c>
      <c r="G19" s="40">
        <v>2023</v>
      </c>
      <c r="H19" s="37" t="s">
        <v>289</v>
      </c>
      <c r="I19" s="42"/>
      <c r="J19" s="40">
        <v>661111020</v>
      </c>
      <c r="K19" s="24">
        <v>46306</v>
      </c>
      <c r="L19" s="25">
        <f t="shared" ca="1" si="0"/>
        <v>45</v>
      </c>
      <c r="M19" s="24">
        <v>46232</v>
      </c>
      <c r="N19" s="28">
        <f t="shared" ca="1" si="1"/>
        <v>-29</v>
      </c>
      <c r="O19" s="27" t="s">
        <v>274</v>
      </c>
      <c r="P19" s="25">
        <v>570866459</v>
      </c>
    </row>
    <row r="20" spans="1:16" ht="25.5" customHeight="1">
      <c r="A20" s="4">
        <v>16</v>
      </c>
      <c r="B20" s="40">
        <v>101864</v>
      </c>
      <c r="C20" s="22" t="s">
        <v>135</v>
      </c>
      <c r="D20" s="23" t="s">
        <v>136</v>
      </c>
      <c r="E20" s="22" t="s">
        <v>271</v>
      </c>
      <c r="F20" s="40" t="s">
        <v>307</v>
      </c>
      <c r="G20" s="40">
        <v>2023</v>
      </c>
      <c r="H20" s="37" t="s">
        <v>289</v>
      </c>
      <c r="I20" s="42"/>
      <c r="J20" s="40">
        <v>881111020</v>
      </c>
      <c r="K20" s="24">
        <v>46351</v>
      </c>
      <c r="L20" s="25">
        <f t="shared" ca="1" si="0"/>
        <v>90</v>
      </c>
      <c r="M20" s="24">
        <v>46232</v>
      </c>
      <c r="N20" s="28">
        <f t="shared" ca="1" si="1"/>
        <v>-29</v>
      </c>
      <c r="O20" s="27" t="s">
        <v>274</v>
      </c>
      <c r="P20" s="25">
        <v>570823597</v>
      </c>
    </row>
    <row r="21" spans="1:16">
      <c r="A21" s="4">
        <v>17</v>
      </c>
      <c r="B21" s="40">
        <v>101932</v>
      </c>
      <c r="C21" s="22" t="s">
        <v>132</v>
      </c>
      <c r="D21" s="23" t="s">
        <v>133</v>
      </c>
      <c r="E21" s="22" t="s">
        <v>299</v>
      </c>
      <c r="F21" s="40" t="s">
        <v>308</v>
      </c>
      <c r="G21" s="40">
        <v>2023</v>
      </c>
      <c r="H21" s="37" t="s">
        <v>289</v>
      </c>
      <c r="I21" s="42"/>
      <c r="J21" s="40">
        <v>882111020</v>
      </c>
      <c r="K21" s="24">
        <v>46350</v>
      </c>
      <c r="L21" s="25">
        <f t="shared" ca="1" si="0"/>
        <v>89</v>
      </c>
      <c r="M21" s="24">
        <v>46232</v>
      </c>
      <c r="N21" s="28">
        <f t="shared" ca="1" si="1"/>
        <v>-29</v>
      </c>
      <c r="O21" s="27" t="s">
        <v>274</v>
      </c>
      <c r="P21" s="25">
        <v>543589466</v>
      </c>
    </row>
    <row r="22" spans="1:16" ht="51" customHeight="1">
      <c r="A22" s="4">
        <v>18</v>
      </c>
      <c r="B22" s="40">
        <v>102964</v>
      </c>
      <c r="C22" s="23" t="s">
        <v>309</v>
      </c>
      <c r="D22" s="23" t="s">
        <v>204</v>
      </c>
      <c r="E22" s="25"/>
      <c r="F22" s="40" t="s">
        <v>310</v>
      </c>
      <c r="G22" s="40">
        <v>2020</v>
      </c>
      <c r="H22" s="37" t="s">
        <v>311</v>
      </c>
      <c r="I22" s="42"/>
      <c r="J22" s="40">
        <v>228047710</v>
      </c>
      <c r="K22" s="24">
        <v>46546</v>
      </c>
      <c r="L22" s="25">
        <f t="shared" ca="1" si="0"/>
        <v>285</v>
      </c>
      <c r="M22" s="24">
        <v>47098</v>
      </c>
      <c r="N22" s="28">
        <f t="shared" ca="1" si="1"/>
        <v>837</v>
      </c>
      <c r="O22" s="27" t="s">
        <v>274</v>
      </c>
      <c r="P22" s="25">
        <v>501434981</v>
      </c>
    </row>
    <row r="23" spans="1:16" ht="25.5" customHeight="1">
      <c r="A23" s="4">
        <v>19</v>
      </c>
      <c r="B23" s="41">
        <v>100363</v>
      </c>
      <c r="C23" s="22" t="s">
        <v>227</v>
      </c>
      <c r="D23" s="23" t="s">
        <v>228</v>
      </c>
      <c r="E23" s="22" t="s">
        <v>312</v>
      </c>
      <c r="F23" s="40" t="s">
        <v>313</v>
      </c>
      <c r="G23" s="40">
        <v>2016</v>
      </c>
      <c r="H23" s="37" t="s">
        <v>314</v>
      </c>
      <c r="I23" s="42"/>
      <c r="J23" s="40">
        <v>653965510</v>
      </c>
      <c r="K23" s="24">
        <v>46318</v>
      </c>
      <c r="L23" s="25">
        <f t="shared" ca="1" si="0"/>
        <v>57</v>
      </c>
      <c r="M23" s="24">
        <v>46885</v>
      </c>
      <c r="N23" s="28">
        <f t="shared" ca="1" si="1"/>
        <v>624</v>
      </c>
      <c r="O23" s="27" t="s">
        <v>315</v>
      </c>
      <c r="P23" s="25">
        <v>561154830</v>
      </c>
    </row>
    <row r="24" spans="1:16" s="39" customFormat="1" ht="38.25" customHeight="1">
      <c r="A24" s="4">
        <v>20</v>
      </c>
      <c r="B24" s="41">
        <v>100364</v>
      </c>
      <c r="C24" s="22" t="s">
        <v>316</v>
      </c>
      <c r="D24" s="23" t="s">
        <v>213</v>
      </c>
      <c r="E24" s="22" t="s">
        <v>317</v>
      </c>
      <c r="F24" s="40" t="s">
        <v>318</v>
      </c>
      <c r="G24" s="40">
        <v>2025</v>
      </c>
      <c r="H24" s="38" t="s">
        <v>319</v>
      </c>
      <c r="I24" s="42"/>
      <c r="J24" s="40">
        <v>966200220</v>
      </c>
      <c r="K24" s="30" t="s">
        <v>320</v>
      </c>
      <c r="L24" s="25" t="str">
        <f t="shared" ca="1" si="0"/>
        <v>-</v>
      </c>
      <c r="M24" s="24">
        <v>46889</v>
      </c>
      <c r="N24" s="28">
        <f t="shared" ca="1" si="1"/>
        <v>628</v>
      </c>
      <c r="O24" s="27" t="s">
        <v>274</v>
      </c>
      <c r="P24" s="25">
        <v>552313697</v>
      </c>
    </row>
    <row r="25" spans="1:16">
      <c r="A25" s="4">
        <v>21</v>
      </c>
      <c r="B25" s="40">
        <v>102369</v>
      </c>
      <c r="C25" s="22" t="s">
        <v>321</v>
      </c>
      <c r="D25" s="23" t="s">
        <v>198</v>
      </c>
      <c r="E25" s="22" t="s">
        <v>276</v>
      </c>
      <c r="F25" s="40" t="s">
        <v>322</v>
      </c>
      <c r="G25" s="40">
        <v>2010</v>
      </c>
      <c r="H25" s="37" t="s">
        <v>289</v>
      </c>
      <c r="I25" s="42"/>
      <c r="J25" s="40">
        <v>264716900</v>
      </c>
      <c r="K25" s="24">
        <v>46615</v>
      </c>
      <c r="L25" s="25">
        <f t="shared" ca="1" si="0"/>
        <v>354</v>
      </c>
      <c r="M25" s="24">
        <v>46503</v>
      </c>
      <c r="N25" s="28">
        <f t="shared" ca="1" si="1"/>
        <v>242</v>
      </c>
      <c r="O25" s="27" t="s">
        <v>274</v>
      </c>
      <c r="P25" s="25">
        <v>510269126</v>
      </c>
    </row>
    <row r="26" spans="1:16" ht="25.5" customHeight="1">
      <c r="A26" s="4">
        <v>22</v>
      </c>
      <c r="B26" s="41">
        <v>102072</v>
      </c>
      <c r="C26" s="22" t="s">
        <v>323</v>
      </c>
      <c r="D26" s="23" t="s">
        <v>225</v>
      </c>
      <c r="E26" s="22" t="s">
        <v>324</v>
      </c>
      <c r="F26" s="40" t="s">
        <v>325</v>
      </c>
      <c r="G26" s="40">
        <v>2024</v>
      </c>
      <c r="H26" s="37" t="s">
        <v>326</v>
      </c>
      <c r="I26" s="42"/>
      <c r="J26" s="40">
        <v>709509020</v>
      </c>
      <c r="K26" s="30" t="s">
        <v>320</v>
      </c>
      <c r="L26" s="25" t="str">
        <f t="shared" ca="1" si="0"/>
        <v>-</v>
      </c>
      <c r="M26" s="24">
        <v>46510</v>
      </c>
      <c r="N26" s="28">
        <f t="shared" ca="1" si="1"/>
        <v>249</v>
      </c>
      <c r="O26" s="27" t="s">
        <v>274</v>
      </c>
      <c r="P26" s="25">
        <v>545381775</v>
      </c>
    </row>
    <row r="27" spans="1:16" ht="25.5" customHeight="1">
      <c r="A27" s="4">
        <v>23</v>
      </c>
      <c r="B27" s="41">
        <v>102824</v>
      </c>
      <c r="C27" s="22" t="s">
        <v>215</v>
      </c>
      <c r="D27" s="23" t="s">
        <v>216</v>
      </c>
      <c r="E27" s="25"/>
      <c r="F27" s="40" t="s">
        <v>327</v>
      </c>
      <c r="G27" s="40">
        <v>2024</v>
      </c>
      <c r="H27" s="37" t="s">
        <v>326</v>
      </c>
      <c r="I27" s="42"/>
      <c r="J27" s="40">
        <v>719509020</v>
      </c>
      <c r="K27" s="30" t="s">
        <v>320</v>
      </c>
      <c r="L27" s="25" t="str">
        <f t="shared" ca="1" si="0"/>
        <v>-</v>
      </c>
      <c r="M27" s="24">
        <v>46510</v>
      </c>
      <c r="N27" s="28">
        <f t="shared" ca="1" si="1"/>
        <v>249</v>
      </c>
      <c r="O27" s="27" t="s">
        <v>274</v>
      </c>
      <c r="P27" s="25">
        <v>501486037</v>
      </c>
    </row>
    <row r="28" spans="1:16">
      <c r="A28" s="4">
        <v>24</v>
      </c>
      <c r="B28" s="41">
        <v>102182</v>
      </c>
      <c r="C28" s="22" t="s">
        <v>328</v>
      </c>
      <c r="D28" s="23" t="s">
        <v>222</v>
      </c>
      <c r="E28" s="22" t="s">
        <v>324</v>
      </c>
      <c r="F28" s="40" t="s">
        <v>329</v>
      </c>
      <c r="G28" s="40">
        <v>2024</v>
      </c>
      <c r="H28" s="37" t="s">
        <v>326</v>
      </c>
      <c r="I28" s="42"/>
      <c r="J28" s="40">
        <v>598509020</v>
      </c>
      <c r="K28" s="30" t="s">
        <v>320</v>
      </c>
      <c r="L28" s="25" t="str">
        <f t="shared" ca="1" si="0"/>
        <v>-</v>
      </c>
      <c r="M28" s="24">
        <v>46510</v>
      </c>
      <c r="N28" s="28">
        <f t="shared" ca="1" si="1"/>
        <v>249</v>
      </c>
      <c r="O28" s="27" t="s">
        <v>274</v>
      </c>
      <c r="P28" s="25">
        <v>541619715</v>
      </c>
    </row>
    <row r="29" spans="1:16" ht="25.5" customHeight="1">
      <c r="A29" s="4">
        <v>25</v>
      </c>
      <c r="B29" s="41">
        <v>102559</v>
      </c>
      <c r="C29" s="22" t="s">
        <v>218</v>
      </c>
      <c r="D29" s="23" t="s">
        <v>219</v>
      </c>
      <c r="E29" s="22" t="s">
        <v>330</v>
      </c>
      <c r="F29" s="40" t="s">
        <v>331</v>
      </c>
      <c r="G29" s="40">
        <v>2024</v>
      </c>
      <c r="H29" s="37" t="s">
        <v>326</v>
      </c>
      <c r="I29" s="42"/>
      <c r="J29" s="40">
        <v>280609020</v>
      </c>
      <c r="K29" s="30" t="s">
        <v>320</v>
      </c>
      <c r="L29" s="25" t="str">
        <f t="shared" ca="1" si="0"/>
        <v>-</v>
      </c>
      <c r="M29" s="24">
        <v>46510</v>
      </c>
      <c r="N29" s="28">
        <f t="shared" ca="1" si="1"/>
        <v>249</v>
      </c>
      <c r="O29" s="27" t="s">
        <v>274</v>
      </c>
      <c r="P29" s="25">
        <v>500321921</v>
      </c>
    </row>
    <row r="30" spans="1:16" ht="25.5" customHeight="1">
      <c r="A30" s="4">
        <v>26</v>
      </c>
      <c r="B30" s="41">
        <v>101399</v>
      </c>
      <c r="C30" s="22" t="s">
        <v>332</v>
      </c>
      <c r="D30" s="23" t="s">
        <v>210</v>
      </c>
      <c r="E30" s="22" t="s">
        <v>333</v>
      </c>
      <c r="F30" s="40" t="s">
        <v>334</v>
      </c>
      <c r="G30" s="40">
        <v>2026</v>
      </c>
      <c r="H30" s="38" t="s">
        <v>335</v>
      </c>
      <c r="I30" s="42"/>
      <c r="J30" s="40">
        <v>340707220</v>
      </c>
      <c r="K30" s="30" t="s">
        <v>320</v>
      </c>
      <c r="L30" s="25" t="str">
        <f t="shared" ca="1" si="0"/>
        <v>-</v>
      </c>
      <c r="M30" s="24">
        <v>47125</v>
      </c>
      <c r="N30" s="28">
        <f t="shared" ca="1" si="1"/>
        <v>864</v>
      </c>
      <c r="O30" s="27" t="s">
        <v>274</v>
      </c>
      <c r="P30" s="25">
        <v>557307783</v>
      </c>
    </row>
    <row r="31" spans="1:16" ht="25.5" customHeight="1">
      <c r="A31" s="4">
        <v>27</v>
      </c>
      <c r="B31" s="41">
        <v>102172</v>
      </c>
      <c r="C31" s="22" t="s">
        <v>206</v>
      </c>
      <c r="D31" s="23" t="s">
        <v>207</v>
      </c>
      <c r="E31" s="22" t="s">
        <v>333</v>
      </c>
      <c r="F31" s="40" t="s">
        <v>336</v>
      </c>
      <c r="G31" s="40">
        <v>2026</v>
      </c>
      <c r="H31" s="38" t="s">
        <v>335</v>
      </c>
      <c r="I31" s="42"/>
      <c r="J31" s="40">
        <v>841707220</v>
      </c>
      <c r="K31" s="30" t="s">
        <v>320</v>
      </c>
      <c r="L31" s="25" t="str">
        <f t="shared" ca="1" si="0"/>
        <v>-</v>
      </c>
      <c r="M31" s="24">
        <v>47125</v>
      </c>
      <c r="N31" s="28">
        <f t="shared" ca="1" si="1"/>
        <v>864</v>
      </c>
      <c r="O31" s="27" t="s">
        <v>274</v>
      </c>
      <c r="P31" s="23" t="s">
        <v>337</v>
      </c>
    </row>
  </sheetData>
  <mergeCells count="2">
    <mergeCell ref="A1:P1"/>
    <mergeCell ref="A2:B2"/>
  </mergeCells>
  <conditionalFormatting sqref="L5:L31 N5:N31">
    <cfRule type="cellIs" dxfId="8" priority="2" operator="lessThan">
      <formula>0</formula>
    </cfRule>
    <cfRule type="cellIs" dxfId="7" priority="3" operator="between">
      <formula>0</formula>
      <formula>30</formula>
    </cfRule>
    <cfRule type="cellIs" dxfId="6" priority="4" operator="greaterThan">
      <formula>30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rightToLeft="1" zoomScaleNormal="100" workbookViewId="0">
      <pane ySplit="3" topLeftCell="A4" activePane="bottomLeft" state="frozen"/>
      <selection activeCell="K1" sqref="K1"/>
      <selection pane="bottomLeft" activeCell="I23" sqref="I23"/>
    </sheetView>
  </sheetViews>
  <sheetFormatPr defaultColWidth="8.7109375" defaultRowHeight="15"/>
  <cols>
    <col min="1" max="1" width="4" style="44" customWidth="1"/>
    <col min="2" max="2" width="9" style="44" customWidth="1"/>
    <col min="3" max="3" width="13" style="44" customWidth="1"/>
    <col min="4" max="4" width="9" style="44" customWidth="1"/>
    <col min="5" max="5" width="15" style="44" customWidth="1"/>
    <col min="6" max="6" width="9" style="44" customWidth="1"/>
    <col min="7" max="7" width="8" style="44" customWidth="1"/>
    <col min="8" max="9" width="12" style="44" customWidth="1"/>
    <col min="10" max="10" width="13" style="44" customWidth="1"/>
    <col min="11" max="11" width="10" style="44" customWidth="1"/>
    <col min="12" max="12" width="13" style="44" customWidth="1"/>
    <col min="13" max="13" width="10" style="44" customWidth="1"/>
    <col min="14" max="14" width="13" style="44" customWidth="1"/>
    <col min="15" max="15" width="10" style="44" customWidth="1"/>
    <col min="16" max="16" width="38" style="44" customWidth="1"/>
  </cols>
  <sheetData>
    <row r="1" spans="1:17" ht="30" customHeight="1">
      <c r="A1" s="54" t="s">
        <v>338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</row>
    <row r="3" spans="1:17" ht="36" customHeight="1">
      <c r="A3" s="46" t="s">
        <v>9</v>
      </c>
      <c r="B3" s="46" t="s">
        <v>339</v>
      </c>
      <c r="C3" s="46" t="s">
        <v>11</v>
      </c>
      <c r="D3" s="46" t="s">
        <v>28</v>
      </c>
      <c r="E3" s="46" t="s">
        <v>29</v>
      </c>
      <c r="F3" s="46" t="s">
        <v>30</v>
      </c>
      <c r="G3" s="46" t="s">
        <v>31</v>
      </c>
      <c r="H3" s="46" t="s">
        <v>32</v>
      </c>
      <c r="I3" s="46" t="s">
        <v>340</v>
      </c>
      <c r="J3" s="46" t="s">
        <v>33</v>
      </c>
      <c r="K3" s="46" t="s">
        <v>14</v>
      </c>
      <c r="L3" s="46" t="s">
        <v>34</v>
      </c>
      <c r="M3" s="46" t="s">
        <v>14</v>
      </c>
      <c r="N3" s="46" t="s">
        <v>36</v>
      </c>
      <c r="O3" s="46" t="s">
        <v>14</v>
      </c>
      <c r="P3" s="46" t="s">
        <v>37</v>
      </c>
    </row>
    <row r="4" spans="1:17" ht="25.5" customHeight="1">
      <c r="A4" s="50">
        <v>1</v>
      </c>
      <c r="B4" s="51" t="s">
        <v>341</v>
      </c>
      <c r="C4" s="50" t="s">
        <v>342</v>
      </c>
      <c r="D4" s="50">
        <v>2016</v>
      </c>
      <c r="E4" s="50" t="s">
        <v>20</v>
      </c>
      <c r="F4" s="50">
        <v>8</v>
      </c>
      <c r="G4" s="50">
        <v>2</v>
      </c>
      <c r="H4" s="50">
        <v>178838410</v>
      </c>
      <c r="I4" s="50">
        <v>7017817896</v>
      </c>
      <c r="J4" s="52">
        <v>45978</v>
      </c>
      <c r="K4" s="50">
        <f t="shared" ref="K4:K18" ca="1" si="0">IF(ISNUMBER(J4),J4-TODAY(),"-")</f>
        <v>-283</v>
      </c>
      <c r="L4" s="52">
        <v>46284</v>
      </c>
      <c r="M4" s="50">
        <f t="shared" ref="M4:M18" ca="1" si="1">IF(ISNUMBER(L4),L4-TODAY(),"-")</f>
        <v>23</v>
      </c>
      <c r="N4" s="52">
        <v>46159</v>
      </c>
      <c r="O4" s="50">
        <f t="shared" ref="O4:O19" ca="1" si="2">IF(ISNUMBER(N4),N4-TODAY(),"-")</f>
        <v>-102</v>
      </c>
      <c r="P4" s="50" t="s">
        <v>343</v>
      </c>
    </row>
    <row r="5" spans="1:17" ht="25.5" customHeight="1">
      <c r="A5" s="47">
        <v>2</v>
      </c>
      <c r="B5" s="48" t="s">
        <v>341</v>
      </c>
      <c r="C5" s="47" t="s">
        <v>344</v>
      </c>
      <c r="D5" s="47">
        <v>2016</v>
      </c>
      <c r="E5" s="47" t="s">
        <v>20</v>
      </c>
      <c r="F5" s="47">
        <v>8</v>
      </c>
      <c r="G5" s="47">
        <v>3</v>
      </c>
      <c r="H5" s="47">
        <v>787571510</v>
      </c>
      <c r="I5" s="50">
        <v>7017817896</v>
      </c>
      <c r="J5" s="49">
        <v>45993</v>
      </c>
      <c r="K5" s="47">
        <f t="shared" ca="1" si="0"/>
        <v>-268</v>
      </c>
      <c r="L5" s="49">
        <v>46291</v>
      </c>
      <c r="M5" s="47">
        <f t="shared" ca="1" si="1"/>
        <v>30</v>
      </c>
      <c r="N5" s="49">
        <v>46159</v>
      </c>
      <c r="O5" s="47">
        <f t="shared" ca="1" si="2"/>
        <v>-102</v>
      </c>
      <c r="P5" s="47" t="s">
        <v>343</v>
      </c>
    </row>
    <row r="6" spans="1:17">
      <c r="A6" s="4">
        <v>4</v>
      </c>
      <c r="B6" s="31" t="s">
        <v>345</v>
      </c>
      <c r="C6" s="4" t="s">
        <v>346</v>
      </c>
      <c r="D6" s="4">
        <v>2016</v>
      </c>
      <c r="E6" s="4" t="s">
        <v>20</v>
      </c>
      <c r="F6" s="4">
        <v>8</v>
      </c>
      <c r="G6" s="4">
        <v>2</v>
      </c>
      <c r="H6" s="4">
        <v>490809610</v>
      </c>
      <c r="I6" s="50">
        <v>7017817896</v>
      </c>
      <c r="J6" s="5">
        <v>46348</v>
      </c>
      <c r="K6" s="4">
        <f t="shared" ca="1" si="0"/>
        <v>87</v>
      </c>
      <c r="L6" s="5">
        <v>46284</v>
      </c>
      <c r="M6" s="4">
        <f t="shared" ca="1" si="1"/>
        <v>23</v>
      </c>
      <c r="N6" s="5">
        <v>46159</v>
      </c>
      <c r="O6" s="4">
        <f t="shared" ca="1" si="2"/>
        <v>-102</v>
      </c>
      <c r="P6" s="4" t="s">
        <v>347</v>
      </c>
    </row>
    <row r="7" spans="1:17" ht="25.5" customHeight="1">
      <c r="A7" s="4">
        <v>5</v>
      </c>
      <c r="B7" s="32" t="s">
        <v>348</v>
      </c>
      <c r="C7" s="4" t="s">
        <v>349</v>
      </c>
      <c r="D7" s="4">
        <v>2023</v>
      </c>
      <c r="E7" s="4" t="s">
        <v>18</v>
      </c>
      <c r="F7" s="4">
        <v>8</v>
      </c>
      <c r="G7" s="4">
        <v>3</v>
      </c>
      <c r="H7" s="4">
        <v>978754020</v>
      </c>
      <c r="I7" s="50">
        <v>7017817896</v>
      </c>
      <c r="J7" s="4" t="s">
        <v>41</v>
      </c>
      <c r="K7" s="4" t="str">
        <f t="shared" ca="1" si="0"/>
        <v>-</v>
      </c>
      <c r="L7" s="5">
        <v>46398</v>
      </c>
      <c r="M7" s="4">
        <f t="shared" ca="1" si="1"/>
        <v>137</v>
      </c>
      <c r="N7" s="5">
        <v>46118</v>
      </c>
      <c r="O7" s="4">
        <f t="shared" ca="1" si="2"/>
        <v>-143</v>
      </c>
      <c r="P7" s="4" t="s">
        <v>350</v>
      </c>
    </row>
    <row r="8" spans="1:17">
      <c r="A8" s="4">
        <v>6</v>
      </c>
      <c r="B8" s="32" t="s">
        <v>348</v>
      </c>
      <c r="C8" s="4" t="s">
        <v>351</v>
      </c>
      <c r="D8" s="4">
        <v>2022</v>
      </c>
      <c r="E8" s="4" t="s">
        <v>17</v>
      </c>
      <c r="F8" s="4">
        <v>4</v>
      </c>
      <c r="G8" s="4">
        <v>3</v>
      </c>
      <c r="H8" s="4">
        <v>211941910</v>
      </c>
      <c r="I8" s="50">
        <v>7017817896</v>
      </c>
      <c r="J8" s="5">
        <v>46446</v>
      </c>
      <c r="K8" s="4">
        <f t="shared" ca="1" si="0"/>
        <v>185</v>
      </c>
      <c r="L8" s="5">
        <v>46858</v>
      </c>
      <c r="M8" s="4">
        <f t="shared" ca="1" si="1"/>
        <v>597</v>
      </c>
      <c r="N8" s="5">
        <v>46379</v>
      </c>
      <c r="O8" s="4">
        <f t="shared" ca="1" si="2"/>
        <v>118</v>
      </c>
      <c r="P8" s="33" t="s">
        <v>352</v>
      </c>
    </row>
    <row r="9" spans="1:17">
      <c r="A9" s="4">
        <v>7</v>
      </c>
      <c r="B9" s="32" t="s">
        <v>348</v>
      </c>
      <c r="C9" s="4" t="s">
        <v>353</v>
      </c>
      <c r="D9" s="4">
        <v>2015</v>
      </c>
      <c r="E9" s="45" t="s">
        <v>17</v>
      </c>
      <c r="F9" s="4">
        <v>4</v>
      </c>
      <c r="G9" s="4">
        <v>3</v>
      </c>
      <c r="H9" s="4">
        <v>322761410</v>
      </c>
      <c r="I9" s="50">
        <v>7017817896</v>
      </c>
      <c r="J9" s="5">
        <v>46552</v>
      </c>
      <c r="K9" s="4">
        <f t="shared" ca="1" si="0"/>
        <v>291</v>
      </c>
      <c r="L9" s="5">
        <v>46553</v>
      </c>
      <c r="M9" s="4">
        <f t="shared" ca="1" si="1"/>
        <v>292</v>
      </c>
      <c r="N9" s="5">
        <v>46515</v>
      </c>
      <c r="O9" s="4">
        <f t="shared" ca="1" si="2"/>
        <v>254</v>
      </c>
      <c r="P9" s="4" t="s">
        <v>354</v>
      </c>
    </row>
    <row r="10" spans="1:17">
      <c r="A10" s="15">
        <v>8</v>
      </c>
      <c r="B10" s="31" t="s">
        <v>345</v>
      </c>
      <c r="C10" s="21" t="s">
        <v>355</v>
      </c>
      <c r="D10" s="21">
        <v>2022</v>
      </c>
      <c r="E10" s="37" t="s">
        <v>356</v>
      </c>
      <c r="F10" s="29" t="s">
        <v>320</v>
      </c>
      <c r="G10" s="29" t="s">
        <v>320</v>
      </c>
      <c r="H10" s="21">
        <v>766440910</v>
      </c>
      <c r="I10" s="4">
        <v>7000473079</v>
      </c>
      <c r="J10" s="24">
        <v>46044</v>
      </c>
      <c r="K10" s="4">
        <f t="shared" ca="1" si="0"/>
        <v>-217</v>
      </c>
      <c r="L10" s="24">
        <v>46790</v>
      </c>
      <c r="M10" s="4">
        <f t="shared" ca="1" si="1"/>
        <v>529</v>
      </c>
      <c r="N10" s="30" t="s">
        <v>320</v>
      </c>
      <c r="O10" s="4" t="str">
        <f t="shared" ca="1" si="2"/>
        <v>-</v>
      </c>
      <c r="P10" s="27" t="s">
        <v>274</v>
      </c>
    </row>
    <row r="11" spans="1:17">
      <c r="A11" s="15">
        <v>9</v>
      </c>
      <c r="B11" s="31" t="s">
        <v>345</v>
      </c>
      <c r="C11" s="21" t="s">
        <v>357</v>
      </c>
      <c r="D11" s="21">
        <v>2018</v>
      </c>
      <c r="E11" s="37" t="s">
        <v>358</v>
      </c>
      <c r="F11" s="29" t="s">
        <v>320</v>
      </c>
      <c r="G11" s="29" t="s">
        <v>320</v>
      </c>
      <c r="H11" s="21">
        <v>679743610</v>
      </c>
      <c r="I11" s="4">
        <v>7000473079</v>
      </c>
      <c r="J11" s="24">
        <v>46323</v>
      </c>
      <c r="K11" s="4">
        <f t="shared" ca="1" si="0"/>
        <v>62</v>
      </c>
      <c r="L11" s="24">
        <v>46260</v>
      </c>
      <c r="M11" s="4">
        <f t="shared" ca="1" si="1"/>
        <v>-1</v>
      </c>
      <c r="N11" s="30" t="s">
        <v>320</v>
      </c>
      <c r="O11" s="4" t="str">
        <f t="shared" ca="1" si="2"/>
        <v>-</v>
      </c>
      <c r="P11" s="27" t="s">
        <v>274</v>
      </c>
      <c r="Q11" s="25"/>
    </row>
    <row r="12" spans="1:17">
      <c r="A12" s="15">
        <v>10</v>
      </c>
      <c r="B12" s="32" t="s">
        <v>348</v>
      </c>
      <c r="C12" s="21" t="s">
        <v>359</v>
      </c>
      <c r="D12" s="21">
        <v>2018</v>
      </c>
      <c r="E12" s="37" t="s">
        <v>273</v>
      </c>
      <c r="F12" s="29" t="s">
        <v>320</v>
      </c>
      <c r="G12" s="29" t="s">
        <v>320</v>
      </c>
      <c r="H12" s="21">
        <v>305759610</v>
      </c>
      <c r="I12" s="4">
        <v>7000473079</v>
      </c>
      <c r="J12" s="24">
        <v>46560</v>
      </c>
      <c r="K12" s="4">
        <f t="shared" ca="1" si="0"/>
        <v>299</v>
      </c>
      <c r="L12" s="24">
        <v>46665</v>
      </c>
      <c r="M12" s="4">
        <f t="shared" ca="1" si="1"/>
        <v>404</v>
      </c>
      <c r="N12" s="29" t="s">
        <v>320</v>
      </c>
      <c r="O12" s="4" t="str">
        <f t="shared" ca="1" si="2"/>
        <v>-</v>
      </c>
      <c r="P12" s="27" t="s">
        <v>360</v>
      </c>
      <c r="Q12" s="25"/>
    </row>
    <row r="13" spans="1:17">
      <c r="A13" s="15">
        <v>11</v>
      </c>
      <c r="B13" s="32" t="s">
        <v>348</v>
      </c>
      <c r="C13" s="21" t="s">
        <v>361</v>
      </c>
      <c r="D13" s="21">
        <v>2009</v>
      </c>
      <c r="E13" s="37" t="s">
        <v>273</v>
      </c>
      <c r="F13" s="29" t="s">
        <v>320</v>
      </c>
      <c r="G13" s="29" t="s">
        <v>320</v>
      </c>
      <c r="H13" s="21">
        <v>12052900</v>
      </c>
      <c r="I13" s="4">
        <v>7000473079</v>
      </c>
      <c r="J13" s="24">
        <v>46164</v>
      </c>
      <c r="K13" s="4">
        <f t="shared" ca="1" si="0"/>
        <v>-97</v>
      </c>
      <c r="L13" s="24">
        <v>46303</v>
      </c>
      <c r="M13" s="4">
        <f t="shared" ca="1" si="1"/>
        <v>42</v>
      </c>
      <c r="N13" s="29" t="s">
        <v>320</v>
      </c>
      <c r="O13" s="4" t="str">
        <f t="shared" ca="1" si="2"/>
        <v>-</v>
      </c>
      <c r="P13" s="27" t="s">
        <v>360</v>
      </c>
    </row>
    <row r="14" spans="1:17">
      <c r="A14" s="15">
        <v>12</v>
      </c>
      <c r="B14" s="32" t="s">
        <v>348</v>
      </c>
      <c r="C14" s="21" t="s">
        <v>362</v>
      </c>
      <c r="D14" s="21">
        <v>2015</v>
      </c>
      <c r="E14" s="37" t="s">
        <v>289</v>
      </c>
      <c r="F14" s="29" t="s">
        <v>320</v>
      </c>
      <c r="G14" s="29" t="s">
        <v>320</v>
      </c>
      <c r="H14" s="21">
        <v>169804410</v>
      </c>
      <c r="I14" s="4">
        <v>7000473079</v>
      </c>
      <c r="J14" s="24">
        <v>46139</v>
      </c>
      <c r="K14" s="4">
        <f t="shared" ca="1" si="0"/>
        <v>-122</v>
      </c>
      <c r="L14" s="24">
        <v>46420</v>
      </c>
      <c r="M14" s="4">
        <f t="shared" ca="1" si="1"/>
        <v>159</v>
      </c>
      <c r="N14" s="29" t="s">
        <v>320</v>
      </c>
      <c r="O14" s="4" t="str">
        <f t="shared" ca="1" si="2"/>
        <v>-</v>
      </c>
      <c r="P14" s="27" t="s">
        <v>360</v>
      </c>
    </row>
    <row r="15" spans="1:17">
      <c r="A15" s="15">
        <v>13</v>
      </c>
      <c r="B15" s="32" t="s">
        <v>348</v>
      </c>
      <c r="C15" s="21" t="s">
        <v>363</v>
      </c>
      <c r="D15" s="21">
        <v>2020</v>
      </c>
      <c r="E15" s="37" t="s">
        <v>311</v>
      </c>
      <c r="F15" s="29" t="s">
        <v>320</v>
      </c>
      <c r="G15" s="29" t="s">
        <v>320</v>
      </c>
      <c r="H15" s="21">
        <v>308047710</v>
      </c>
      <c r="I15" s="4">
        <v>7000473079</v>
      </c>
      <c r="J15" s="24">
        <v>46133</v>
      </c>
      <c r="K15" s="4">
        <f t="shared" ca="1" si="0"/>
        <v>-128</v>
      </c>
      <c r="L15" s="24">
        <v>47098</v>
      </c>
      <c r="M15" s="4">
        <f t="shared" ca="1" si="1"/>
        <v>837</v>
      </c>
      <c r="N15" s="29" t="s">
        <v>320</v>
      </c>
      <c r="O15" s="4" t="str">
        <f t="shared" ca="1" si="2"/>
        <v>-</v>
      </c>
      <c r="P15" s="27" t="s">
        <v>360</v>
      </c>
    </row>
    <row r="16" spans="1:17">
      <c r="A16" s="15">
        <v>14</v>
      </c>
      <c r="B16" s="31" t="s">
        <v>345</v>
      </c>
      <c r="C16" s="21" t="s">
        <v>364</v>
      </c>
      <c r="D16" s="21">
        <v>2022</v>
      </c>
      <c r="E16" s="37" t="s">
        <v>356</v>
      </c>
      <c r="F16" s="29" t="s">
        <v>320</v>
      </c>
      <c r="G16" s="29" t="s">
        <v>320</v>
      </c>
      <c r="H16" s="21">
        <v>58440910</v>
      </c>
      <c r="I16" s="4">
        <v>7000473079</v>
      </c>
      <c r="J16" s="24">
        <v>46416</v>
      </c>
      <c r="K16" s="4">
        <f t="shared" ca="1" si="0"/>
        <v>155</v>
      </c>
      <c r="L16" s="24">
        <v>46790</v>
      </c>
      <c r="M16" s="4">
        <f t="shared" ca="1" si="1"/>
        <v>529</v>
      </c>
      <c r="N16" s="29" t="s">
        <v>320</v>
      </c>
      <c r="O16" s="4" t="str">
        <f t="shared" ca="1" si="2"/>
        <v>-</v>
      </c>
      <c r="P16" s="27" t="s">
        <v>274</v>
      </c>
    </row>
    <row r="17" spans="1:16">
      <c r="A17" s="15">
        <v>15</v>
      </c>
      <c r="B17" s="32" t="s">
        <v>348</v>
      </c>
      <c r="C17" s="21" t="s">
        <v>365</v>
      </c>
      <c r="D17" s="21">
        <v>2022</v>
      </c>
      <c r="E17" s="37" t="s">
        <v>366</v>
      </c>
      <c r="F17" s="29" t="s">
        <v>320</v>
      </c>
      <c r="G17" s="29" t="s">
        <v>320</v>
      </c>
      <c r="H17" s="21">
        <v>129726810</v>
      </c>
      <c r="I17" s="4">
        <v>7000473079</v>
      </c>
      <c r="J17" s="24">
        <v>46164</v>
      </c>
      <c r="K17" s="4">
        <f t="shared" ca="1" si="0"/>
        <v>-97</v>
      </c>
      <c r="L17" s="5">
        <v>46571</v>
      </c>
      <c r="M17" s="4">
        <f t="shared" ca="1" si="1"/>
        <v>310</v>
      </c>
      <c r="N17" s="29" t="s">
        <v>320</v>
      </c>
      <c r="O17" s="4" t="str">
        <f t="shared" ca="1" si="2"/>
        <v>-</v>
      </c>
      <c r="P17" s="27" t="s">
        <v>367</v>
      </c>
    </row>
    <row r="18" spans="1:16">
      <c r="A18" s="15">
        <v>16</v>
      </c>
      <c r="B18" s="32" t="s">
        <v>348</v>
      </c>
      <c r="C18" s="21" t="s">
        <v>368</v>
      </c>
      <c r="D18" s="21">
        <v>2016</v>
      </c>
      <c r="E18" s="37" t="s">
        <v>289</v>
      </c>
      <c r="F18" s="29" t="s">
        <v>320</v>
      </c>
      <c r="G18" s="29" t="s">
        <v>320</v>
      </c>
      <c r="H18" s="21">
        <v>487059510</v>
      </c>
      <c r="I18" s="4">
        <v>7000473079</v>
      </c>
      <c r="J18" s="24">
        <v>46284</v>
      </c>
      <c r="K18" s="4">
        <f t="shared" ca="1" si="0"/>
        <v>23</v>
      </c>
      <c r="L18" s="24">
        <v>47094</v>
      </c>
      <c r="M18" s="4">
        <f t="shared" ca="1" si="1"/>
        <v>833</v>
      </c>
      <c r="N18" s="29" t="s">
        <v>320</v>
      </c>
      <c r="O18" s="4" t="str">
        <f t="shared" ca="1" si="2"/>
        <v>-</v>
      </c>
      <c r="P18" s="27" t="s">
        <v>369</v>
      </c>
    </row>
    <row r="19" spans="1:16">
      <c r="A19" s="15">
        <v>17</v>
      </c>
      <c r="B19" s="32" t="s">
        <v>348</v>
      </c>
      <c r="C19" s="43" t="s">
        <v>370</v>
      </c>
      <c r="D19" s="21">
        <v>2012</v>
      </c>
      <c r="E19" s="37" t="s">
        <v>371</v>
      </c>
      <c r="F19" s="29" t="s">
        <v>320</v>
      </c>
      <c r="G19" s="29" t="s">
        <v>320</v>
      </c>
      <c r="H19" s="29" t="s">
        <v>320</v>
      </c>
      <c r="I19" s="29" t="s">
        <v>320</v>
      </c>
      <c r="J19" s="29" t="s">
        <v>320</v>
      </c>
      <c r="K19" s="29" t="s">
        <v>320</v>
      </c>
      <c r="L19" s="29" t="s">
        <v>320</v>
      </c>
      <c r="M19" s="29" t="s">
        <v>320</v>
      </c>
      <c r="N19" s="29" t="s">
        <v>320</v>
      </c>
      <c r="O19" s="4" t="str">
        <f t="shared" ca="1" si="2"/>
        <v>-</v>
      </c>
      <c r="P19" s="27" t="s">
        <v>372</v>
      </c>
    </row>
    <row r="20" spans="1:16">
      <c r="A20" s="15"/>
    </row>
  </sheetData>
  <mergeCells count="1">
    <mergeCell ref="A1:P1"/>
  </mergeCells>
  <conditionalFormatting sqref="K4:K18 M4:M18 O4:O19">
    <cfRule type="cellIs" dxfId="5" priority="2" operator="lessThan">
      <formula>0</formula>
    </cfRule>
    <cfRule type="cellIs" dxfId="4" priority="3" operator="between">
      <formula>0</formula>
      <formula>30</formula>
    </cfRule>
    <cfRule type="cellIs" dxfId="3" priority="4" operator="greaterThan">
      <formula>30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rightToLeft="1" zoomScaleNormal="100" workbookViewId="0">
      <selection activeCell="C9" sqref="C9"/>
    </sheetView>
  </sheetViews>
  <sheetFormatPr defaultColWidth="8.7109375" defaultRowHeight="15"/>
  <cols>
    <col min="1" max="1" width="4" style="44" customWidth="1"/>
    <col min="2" max="2" width="12" style="44" customWidth="1"/>
    <col min="3" max="3" width="24" style="44" customWidth="1"/>
    <col min="4" max="4" width="13" style="44" customWidth="1"/>
    <col min="5" max="5" width="9" style="44" customWidth="1"/>
    <col min="6" max="6" width="15" style="44" customWidth="1"/>
    <col min="7" max="7" width="11" style="44" customWidth="1"/>
    <col min="8" max="8" width="13" style="44" customWidth="1"/>
    <col min="9" max="9" width="22" style="44" customWidth="1"/>
  </cols>
  <sheetData>
    <row r="1" spans="1:9" ht="30" customHeight="1">
      <c r="A1" s="54" t="s">
        <v>373</v>
      </c>
      <c r="B1" s="55"/>
      <c r="C1" s="55"/>
      <c r="D1" s="55"/>
      <c r="E1" s="55"/>
      <c r="F1" s="55"/>
      <c r="G1" s="55"/>
      <c r="H1" s="55"/>
      <c r="I1" s="55"/>
    </row>
    <row r="3" spans="1:9" ht="30" customHeight="1">
      <c r="A3" s="13" t="s">
        <v>9</v>
      </c>
      <c r="B3" s="13" t="s">
        <v>24</v>
      </c>
      <c r="C3" s="13" t="s">
        <v>25</v>
      </c>
      <c r="D3" s="13" t="s">
        <v>26</v>
      </c>
      <c r="E3" s="13" t="s">
        <v>27</v>
      </c>
      <c r="F3" s="13" t="s">
        <v>35</v>
      </c>
      <c r="G3" s="13" t="s">
        <v>14</v>
      </c>
      <c r="H3" s="13" t="s">
        <v>38</v>
      </c>
      <c r="I3" s="13" t="s">
        <v>37</v>
      </c>
    </row>
    <row r="4" spans="1:9">
      <c r="A4" s="4">
        <v>1</v>
      </c>
      <c r="B4" s="4">
        <v>100321</v>
      </c>
      <c r="C4" s="4" t="s">
        <v>374</v>
      </c>
      <c r="D4" s="4">
        <v>2192810774</v>
      </c>
      <c r="E4" s="4" t="s">
        <v>16</v>
      </c>
      <c r="F4" s="4" t="s">
        <v>375</v>
      </c>
      <c r="G4" s="4" t="str">
        <f ca="1">IF(ISNUMBER(F4),F4-TODAY(),"-")</f>
        <v>-</v>
      </c>
      <c r="H4" s="4">
        <v>533858352</v>
      </c>
      <c r="I4" s="35" t="s">
        <v>376</v>
      </c>
    </row>
    <row r="5" spans="1:9">
      <c r="A5" s="4">
        <v>2</v>
      </c>
      <c r="B5" s="4">
        <v>101225</v>
      </c>
      <c r="C5" s="4" t="s">
        <v>236</v>
      </c>
      <c r="D5" s="4">
        <v>2472649249</v>
      </c>
      <c r="E5" s="4" t="s">
        <v>16</v>
      </c>
      <c r="F5" s="5">
        <v>46515</v>
      </c>
      <c r="G5" s="4">
        <f ca="1">IF(ISNUMBER(F5),F5-TODAY(),"-")</f>
        <v>254</v>
      </c>
      <c r="H5" s="4">
        <v>501901731</v>
      </c>
      <c r="I5" s="4" t="s">
        <v>41</v>
      </c>
    </row>
    <row r="6" spans="1:9">
      <c r="A6" s="4">
        <v>3</v>
      </c>
      <c r="B6" s="4">
        <v>100385</v>
      </c>
      <c r="C6" s="4" t="s">
        <v>377</v>
      </c>
      <c r="D6" s="4">
        <v>2407663372</v>
      </c>
      <c r="E6" s="4" t="s">
        <v>15</v>
      </c>
      <c r="F6" s="5">
        <v>46515</v>
      </c>
      <c r="G6" s="4">
        <f ca="1">IF(ISNUMBER(F6),F6-TODAY(),"-")</f>
        <v>254</v>
      </c>
      <c r="H6" s="4">
        <v>570528945</v>
      </c>
      <c r="I6" s="15" t="s">
        <v>41</v>
      </c>
    </row>
    <row r="7" spans="1:9">
      <c r="A7" s="4">
        <v>4</v>
      </c>
      <c r="B7" s="4">
        <v>101238</v>
      </c>
      <c r="C7" s="4" t="s">
        <v>161</v>
      </c>
      <c r="D7" s="4">
        <v>2485516401</v>
      </c>
      <c r="E7" s="4" t="s">
        <v>16</v>
      </c>
      <c r="F7" s="5">
        <v>46515</v>
      </c>
      <c r="G7" s="4">
        <f ca="1">IF(ISNUMBER(F7),F7-TODAY(),"-")</f>
        <v>254</v>
      </c>
      <c r="H7" s="4">
        <v>535690637</v>
      </c>
      <c r="I7" s="15" t="s">
        <v>41</v>
      </c>
    </row>
    <row r="8" spans="1:9">
      <c r="A8" s="15">
        <v>5</v>
      </c>
      <c r="B8" s="4">
        <v>101199</v>
      </c>
      <c r="C8" s="4" t="s">
        <v>378</v>
      </c>
      <c r="D8" s="4">
        <v>2468851676</v>
      </c>
      <c r="E8" s="15" t="s">
        <v>16</v>
      </c>
      <c r="F8" s="5">
        <v>46330</v>
      </c>
      <c r="G8" s="4">
        <f ca="1">IF(ISNUMBER(F8),F8-TODAY(),"-")</f>
        <v>69</v>
      </c>
      <c r="H8" s="4">
        <v>558654476</v>
      </c>
      <c r="I8" s="15" t="s">
        <v>41</v>
      </c>
    </row>
  </sheetData>
  <mergeCells count="1">
    <mergeCell ref="A1:I1"/>
  </mergeCells>
  <conditionalFormatting sqref="G4:G8">
    <cfRule type="cellIs" dxfId="2" priority="2" operator="lessThan">
      <formula>0</formula>
    </cfRule>
    <cfRule type="cellIs" dxfId="1" priority="3" operator="between">
      <formula>0</formula>
      <formula>30</formula>
    </cfRule>
    <cfRule type="cellIs" dxfId="0" priority="4" operator="greaterThan">
      <formula>30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5"/>
  <sheetViews>
    <sheetView rightToLeft="1" zoomScaleNormal="100" workbookViewId="0"/>
  </sheetViews>
  <sheetFormatPr defaultColWidth="8.7109375" defaultRowHeight="15"/>
  <sheetData>
    <row r="2" spans="1:6">
      <c r="A2" t="str">
        <f>'سجل النقل'!C5</f>
        <v>شمون مياه ادريس مياه</v>
      </c>
      <c r="B2" t="str">
        <f>'سجل النقل'!F5</f>
        <v>ا س م  8013</v>
      </c>
      <c r="C2" s="34" t="s">
        <v>379</v>
      </c>
      <c r="D2" s="1">
        <f>'سجل النقل'!L5</f>
        <v>46478</v>
      </c>
      <c r="E2">
        <f ca="1">'سجل النقل'!M5</f>
        <v>217</v>
      </c>
      <c r="F2">
        <f t="shared" ref="F2:F33" ca="1" si="0">IF(ISNUMBER(E2),E2+ROW()/100000,"")</f>
        <v>217.00002000000001</v>
      </c>
    </row>
    <row r="3" spans="1:6">
      <c r="A3" t="str">
        <f>'سجل النقل'!C6</f>
        <v>مد سيف</v>
      </c>
      <c r="B3" t="str">
        <f>'سجل النقل'!F6</f>
        <v>أ س م 8025</v>
      </c>
      <c r="C3" s="34" t="s">
        <v>379</v>
      </c>
      <c r="D3" s="1">
        <f>'سجل النقل'!L6</f>
        <v>46309</v>
      </c>
      <c r="E3">
        <f ca="1">'سجل النقل'!M6</f>
        <v>48</v>
      </c>
      <c r="F3">
        <f t="shared" ca="1" si="0"/>
        <v>48.000030000000002</v>
      </c>
    </row>
    <row r="4" spans="1:6">
      <c r="A4" t="str">
        <f>'سجل النقل'!C7</f>
        <v>محمد عبدالصبور عبدالعزيز</v>
      </c>
      <c r="B4" t="str">
        <f>'سجل النقل'!F7</f>
        <v>ا س م 8024</v>
      </c>
      <c r="C4" s="34" t="s">
        <v>379</v>
      </c>
      <c r="D4" s="1">
        <f>'سجل النقل'!L7</f>
        <v>46309</v>
      </c>
      <c r="E4">
        <f ca="1">'سجل النقل'!M7</f>
        <v>48</v>
      </c>
      <c r="F4">
        <f t="shared" ca="1" si="0"/>
        <v>48.000039999999998</v>
      </c>
    </row>
    <row r="5" spans="1:6">
      <c r="A5" t="str">
        <f>'سجل النقل'!C8</f>
        <v>كابيل مياه</v>
      </c>
      <c r="B5" t="str">
        <f>'سجل النقل'!F8</f>
        <v>ا س ح  8714</v>
      </c>
      <c r="C5" s="34" t="s">
        <v>379</v>
      </c>
      <c r="D5" s="1">
        <f>'سجل النقل'!L8</f>
        <v>46295</v>
      </c>
      <c r="E5">
        <f ca="1">'سجل النقل'!M8</f>
        <v>34</v>
      </c>
      <c r="F5">
        <f t="shared" ca="1" si="0"/>
        <v>34.000050000000002</v>
      </c>
    </row>
    <row r="6" spans="1:6">
      <c r="A6" t="str">
        <f>'سجل النقل'!C9</f>
        <v>تنفير حسين</v>
      </c>
      <c r="B6" t="str">
        <f>'سجل النقل'!F9</f>
        <v>ا ر ع  2234</v>
      </c>
      <c r="C6" s="34" t="s">
        <v>379</v>
      </c>
      <c r="D6" s="1">
        <f>'سجل النقل'!L9</f>
        <v>46563</v>
      </c>
      <c r="E6">
        <f ca="1">'سجل النقل'!M9</f>
        <v>302</v>
      </c>
      <c r="F6">
        <f t="shared" ca="1" si="0"/>
        <v>302.00006000000002</v>
      </c>
    </row>
    <row r="7" spans="1:6">
      <c r="A7" t="str">
        <f>'سجل النقل'!C10</f>
        <v>محمد مصلح حمادي محسن</v>
      </c>
      <c r="B7" t="str">
        <f>'سجل النقل'!F10</f>
        <v>ا ر و 4140</v>
      </c>
      <c r="C7" s="34" t="s">
        <v>379</v>
      </c>
      <c r="D7" s="1">
        <f>'سجل النقل'!L10</f>
        <v>46475</v>
      </c>
      <c r="E7">
        <f ca="1">'سجل النقل'!M10</f>
        <v>214</v>
      </c>
      <c r="F7">
        <f t="shared" ca="1" si="0"/>
        <v>214.00006999999999</v>
      </c>
    </row>
    <row r="8" spans="1:6">
      <c r="A8" t="str">
        <f>'سجل النقل'!C11</f>
        <v>مارييل فينود</v>
      </c>
      <c r="B8" t="str">
        <f>'سجل النقل'!F11</f>
        <v>ا س  8015</v>
      </c>
      <c r="C8" s="34" t="s">
        <v>379</v>
      </c>
      <c r="D8" s="1">
        <f>'سجل النقل'!L11</f>
        <v>46536</v>
      </c>
      <c r="E8">
        <f ca="1">'سجل النقل'!M11</f>
        <v>275</v>
      </c>
      <c r="F8">
        <f t="shared" ca="1" si="0"/>
        <v>275.00008000000003</v>
      </c>
    </row>
    <row r="9" spans="1:6">
      <c r="A9" t="str">
        <f>'سجل النقل'!C12</f>
        <v>محمد يونس</v>
      </c>
      <c r="B9" t="str">
        <f>'سجل النقل'!F12</f>
        <v>ا س ق 7776</v>
      </c>
      <c r="C9" s="34" t="s">
        <v>379</v>
      </c>
      <c r="D9" s="1">
        <f>'سجل النقل'!L12</f>
        <v>46384</v>
      </c>
      <c r="E9">
        <f ca="1">'سجل النقل'!M12</f>
        <v>123</v>
      </c>
      <c r="F9">
        <f t="shared" ca="1" si="0"/>
        <v>123.00009</v>
      </c>
    </row>
    <row r="10" spans="1:6">
      <c r="A10" t="str">
        <f>'سجل النقل'!C13</f>
        <v>ابراهيم محمد ابوزيد محمد</v>
      </c>
      <c r="B10" t="str">
        <f>'سجل النقل'!F13</f>
        <v>ا ر ع 2232</v>
      </c>
      <c r="C10" s="34" t="s">
        <v>379</v>
      </c>
      <c r="D10" s="1">
        <f>'سجل النقل'!L13</f>
        <v>46521</v>
      </c>
      <c r="E10">
        <f ca="1">'سجل النقل'!M13</f>
        <v>260</v>
      </c>
      <c r="F10">
        <f t="shared" ca="1" si="0"/>
        <v>260.00009999999997</v>
      </c>
    </row>
    <row r="11" spans="1:6">
      <c r="A11" t="str">
        <f>'سجل النقل'!C14</f>
        <v>انفير كاريماري عمير</v>
      </c>
      <c r="B11" t="str">
        <f>'سجل النقل'!F14</f>
        <v>أ س ر 8873</v>
      </c>
      <c r="C11" s="34" t="s">
        <v>379</v>
      </c>
      <c r="D11" s="1">
        <f>'سجل النقل'!L14</f>
        <v>46296</v>
      </c>
      <c r="E11">
        <f ca="1">'سجل النقل'!M14</f>
        <v>35</v>
      </c>
      <c r="F11">
        <f t="shared" ca="1" si="0"/>
        <v>35.000109999999999</v>
      </c>
    </row>
    <row r="12" spans="1:6">
      <c r="A12" t="str">
        <f>'سجل النقل'!C15</f>
        <v>ارجوان</v>
      </c>
      <c r="B12" t="str">
        <f>'سجل النقل'!F15</f>
        <v>ا س م 8033</v>
      </c>
      <c r="C12" s="34" t="s">
        <v>379</v>
      </c>
      <c r="D12" s="1">
        <f>'سجل النقل'!L15</f>
        <v>46478</v>
      </c>
      <c r="E12">
        <f ca="1">'سجل النقل'!M15</f>
        <v>217</v>
      </c>
      <c r="F12">
        <f t="shared" ca="1" si="0"/>
        <v>217.00012000000001</v>
      </c>
    </row>
    <row r="13" spans="1:6">
      <c r="A13" t="str">
        <f>'سجل النقل'!C16</f>
        <v>اجيت راجا</v>
      </c>
      <c r="B13" t="str">
        <f>'سجل النقل'!F16</f>
        <v>ا ر و 4084</v>
      </c>
      <c r="C13" s="34" t="s">
        <v>379</v>
      </c>
      <c r="D13" s="1">
        <f>'سجل النقل'!L16</f>
        <v>46384</v>
      </c>
      <c r="E13">
        <f ca="1">'سجل النقل'!M16</f>
        <v>123</v>
      </c>
      <c r="F13">
        <f t="shared" ca="1" si="0"/>
        <v>123.00013</v>
      </c>
    </row>
    <row r="14" spans="1:6">
      <c r="A14" t="str">
        <f>'سجل النقل'!C17</f>
        <v>سليم اختر محمد</v>
      </c>
      <c r="B14" t="str">
        <f>'سجل النقل'!F17</f>
        <v>ا س ح 8670</v>
      </c>
      <c r="C14" s="34" t="s">
        <v>379</v>
      </c>
      <c r="D14" s="1">
        <f>'سجل النقل'!L17</f>
        <v>46338</v>
      </c>
      <c r="E14">
        <f ca="1">'سجل النقل'!M17</f>
        <v>77</v>
      </c>
      <c r="F14">
        <f t="shared" ca="1" si="0"/>
        <v>77.000140000000002</v>
      </c>
    </row>
    <row r="15" spans="1:6">
      <c r="A15" t="str">
        <f>'سجل النقل'!C18</f>
        <v>احمد رشوان</v>
      </c>
      <c r="B15" t="str">
        <f>'سجل النقل'!F18</f>
        <v>ا ص ق 6853</v>
      </c>
      <c r="C15" s="34" t="s">
        <v>379</v>
      </c>
      <c r="D15" s="1">
        <f>'سجل النقل'!L18</f>
        <v>46476</v>
      </c>
      <c r="E15">
        <f ca="1">'سجل النقل'!M18</f>
        <v>215</v>
      </c>
      <c r="F15">
        <f t="shared" ca="1" si="0"/>
        <v>215.00014999999999</v>
      </c>
    </row>
    <row r="16" spans="1:6">
      <c r="A16" t="str">
        <f>'سجل النقل'!C19</f>
        <v>اسف باث شوهل</v>
      </c>
      <c r="B16" t="str">
        <f>'سجل النقل'!F19</f>
        <v>ا س ح  8717</v>
      </c>
      <c r="C16" s="34" t="s">
        <v>379</v>
      </c>
      <c r="D16" s="1">
        <f>'سجل النقل'!L19</f>
        <v>46467</v>
      </c>
      <c r="E16">
        <f ca="1">'سجل النقل'!M19</f>
        <v>206</v>
      </c>
      <c r="F16">
        <f t="shared" ca="1" si="0"/>
        <v>206.00015999999999</v>
      </c>
    </row>
    <row r="17" spans="1:6">
      <c r="A17" t="str">
        <f>'سجل النقل'!C20</f>
        <v>فالق سجاد سجاد</v>
      </c>
      <c r="B17" t="str">
        <f>'سجل النقل'!F20</f>
        <v>ا س م 8029</v>
      </c>
      <c r="C17" s="34" t="s">
        <v>379</v>
      </c>
      <c r="D17" s="1">
        <f>'سجل النقل'!L20</f>
        <v>46474</v>
      </c>
      <c r="E17">
        <f ca="1">'سجل النقل'!M20</f>
        <v>213</v>
      </c>
      <c r="F17">
        <f t="shared" ca="1" si="0"/>
        <v>213.00017</v>
      </c>
    </row>
    <row r="18" spans="1:6">
      <c r="A18" t="str">
        <f>'سجل النقل'!C21</f>
        <v>موزيد خان</v>
      </c>
      <c r="B18" t="str">
        <f>'سجل النقل'!F21</f>
        <v>ا س ل 8850</v>
      </c>
      <c r="C18" s="34" t="s">
        <v>379</v>
      </c>
      <c r="D18" s="1">
        <f>'سجل النقل'!L21</f>
        <v>46348</v>
      </c>
      <c r="E18">
        <f ca="1">'سجل النقل'!M21</f>
        <v>87</v>
      </c>
      <c r="F18">
        <f t="shared" ca="1" si="0"/>
        <v>87.00018</v>
      </c>
    </row>
    <row r="19" spans="1:6">
      <c r="A19" t="str">
        <f>'سجل النقل'!C22</f>
        <v>بسام علي احمد الجلال</v>
      </c>
      <c r="B19" t="str">
        <f>'سجل النقل'!F22</f>
        <v>ا س م 8023</v>
      </c>
      <c r="C19" s="34" t="s">
        <v>379</v>
      </c>
      <c r="D19" s="1">
        <f>'سجل النقل'!L22</f>
        <v>46310</v>
      </c>
      <c r="E19">
        <f ca="1">'سجل النقل'!M22</f>
        <v>49</v>
      </c>
      <c r="F19">
        <f t="shared" ca="1" si="0"/>
        <v>49.000190000000003</v>
      </c>
    </row>
    <row r="20" spans="1:6">
      <c r="A20" t="str">
        <f>'سجل النقل'!C23</f>
        <v>كرم ابو الهدى صادق</v>
      </c>
      <c r="B20" t="str">
        <f>'سجل النقل'!F23</f>
        <v>ا ر و  4071</v>
      </c>
      <c r="C20" s="34" t="s">
        <v>379</v>
      </c>
      <c r="D20" s="1">
        <f>'سجل النقل'!L23</f>
        <v>46359</v>
      </c>
      <c r="E20">
        <f ca="1">'سجل النقل'!M23</f>
        <v>98</v>
      </c>
      <c r="F20">
        <f t="shared" ca="1" si="0"/>
        <v>98.000200000000007</v>
      </c>
    </row>
    <row r="21" spans="1:6">
      <c r="A21" t="str">
        <f>'سجل النقل'!C24</f>
        <v>مران حسين مد تارو</v>
      </c>
      <c r="B21" t="str">
        <f>'سجل النقل'!F24</f>
        <v>ا س م 8031</v>
      </c>
      <c r="C21" s="34" t="s">
        <v>379</v>
      </c>
      <c r="D21" s="1">
        <f>'سجل النقل'!L24</f>
        <v>46476</v>
      </c>
      <c r="E21">
        <f ca="1">'سجل النقل'!M24</f>
        <v>215</v>
      </c>
      <c r="F21">
        <f t="shared" ca="1" si="0"/>
        <v>215.00021000000001</v>
      </c>
    </row>
    <row r="22" spans="1:6">
      <c r="A22" t="str">
        <f>'سجل النقل'!C25</f>
        <v>محمد عبدالحميد محمد</v>
      </c>
      <c r="B22" t="str">
        <f>'سجل النقل'!F25</f>
        <v>ا س م  8035</v>
      </c>
      <c r="C22" s="34" t="s">
        <v>379</v>
      </c>
      <c r="D22" s="1">
        <f>'سجل النقل'!L25</f>
        <v>46480</v>
      </c>
      <c r="E22">
        <f ca="1">'سجل النقل'!M25</f>
        <v>219</v>
      </c>
      <c r="F22">
        <f t="shared" ca="1" si="0"/>
        <v>219.00022000000001</v>
      </c>
    </row>
    <row r="23" spans="1:6">
      <c r="A23" t="str">
        <f>'سجل النقل'!C26</f>
        <v>احمد عبدالصبور رشوان</v>
      </c>
      <c r="B23" t="str">
        <f>'سجل النقل'!F26</f>
        <v>ا س م  8021</v>
      </c>
      <c r="C23" s="34" t="s">
        <v>379</v>
      </c>
      <c r="D23" s="1">
        <f>'سجل النقل'!L26</f>
        <v>46321</v>
      </c>
      <c r="E23">
        <f ca="1">'سجل النقل'!M26</f>
        <v>60</v>
      </c>
      <c r="F23">
        <f t="shared" ca="1" si="0"/>
        <v>60.000230000000002</v>
      </c>
    </row>
    <row r="24" spans="1:6">
      <c r="A24" t="str">
        <f>'سجل النقل'!C27</f>
        <v>انصار الم</v>
      </c>
      <c r="B24" t="str">
        <f>'سجل النقل'!F27</f>
        <v>ا ر و  4139</v>
      </c>
      <c r="C24" s="34" t="s">
        <v>379</v>
      </c>
      <c r="D24" s="1">
        <f>'سجل النقل'!L27</f>
        <v>47027</v>
      </c>
      <c r="E24">
        <f ca="1">'سجل النقل'!M27</f>
        <v>766</v>
      </c>
      <c r="F24">
        <f t="shared" ca="1" si="0"/>
        <v>766.00023999999996</v>
      </c>
    </row>
    <row r="25" spans="1:6">
      <c r="A25" t="str">
        <f>'سجل النقل'!C28</f>
        <v>شندان دبينات</v>
      </c>
      <c r="B25" t="str">
        <f>'سجل النقل'!F28</f>
        <v>ا ر و 4141</v>
      </c>
      <c r="C25" s="34" t="s">
        <v>379</v>
      </c>
      <c r="D25" s="1">
        <f>'سجل النقل'!L28</f>
        <v>46413</v>
      </c>
      <c r="E25">
        <f ca="1">'سجل النقل'!M28</f>
        <v>152</v>
      </c>
      <c r="F25">
        <f t="shared" ca="1" si="0"/>
        <v>152.00024999999999</v>
      </c>
    </row>
    <row r="26" spans="1:6">
      <c r="A26" t="str">
        <f>'سجل النقل'!C29</f>
        <v>علي محمد ابوزيد محمد</v>
      </c>
      <c r="B26" t="str">
        <f>'سجل النقل'!F29</f>
        <v>ا ر ع 2240</v>
      </c>
      <c r="C26" s="34" t="s">
        <v>379</v>
      </c>
      <c r="D26" s="1">
        <f>'سجل النقل'!L29</f>
        <v>46637</v>
      </c>
      <c r="E26">
        <f ca="1">'سجل النقل'!M29</f>
        <v>376</v>
      </c>
      <c r="F26">
        <f t="shared" ca="1" si="0"/>
        <v>376.00026000000003</v>
      </c>
    </row>
    <row r="27" spans="1:6">
      <c r="A27" t="str">
        <f>'سجل النقل'!C30</f>
        <v>شوكت علي</v>
      </c>
      <c r="B27" t="str">
        <f>'سجل النقل'!F30</f>
        <v>ا س ق 7920</v>
      </c>
      <c r="C27" s="34" t="s">
        <v>379</v>
      </c>
      <c r="D27" s="1">
        <f>'سجل النقل'!L30</f>
        <v>46641</v>
      </c>
      <c r="E27">
        <f ca="1">'سجل النقل'!M30</f>
        <v>380</v>
      </c>
      <c r="F27">
        <f t="shared" ca="1" si="0"/>
        <v>380.00027</v>
      </c>
    </row>
    <row r="28" spans="1:6">
      <c r="A28" t="str">
        <f>""</f>
        <v/>
      </c>
      <c r="B28" t="str">
        <f>""</f>
        <v/>
      </c>
      <c r="C28" s="34" t="s">
        <v>379</v>
      </c>
      <c r="D28" s="1" t="str">
        <f>""</f>
        <v/>
      </c>
      <c r="E28" t="str">
        <f>""</f>
        <v/>
      </c>
      <c r="F28" t="str">
        <f t="shared" si="0"/>
        <v/>
      </c>
    </row>
    <row r="29" spans="1:6">
      <c r="A29" t="str">
        <f>'سجل النقل'!C31</f>
        <v>انال كومار</v>
      </c>
      <c r="B29" t="str">
        <f>'سجل النقل'!F31</f>
        <v>ا س ح 8715</v>
      </c>
      <c r="C29" s="34" t="s">
        <v>379</v>
      </c>
      <c r="D29" s="1">
        <f>'سجل النقل'!L31</f>
        <v>46433</v>
      </c>
      <c r="E29">
        <f ca="1">'سجل النقل'!M31</f>
        <v>172</v>
      </c>
      <c r="F29">
        <f t="shared" ca="1" si="0"/>
        <v>172.00029000000001</v>
      </c>
    </row>
    <row r="30" spans="1:6">
      <c r="A30" t="str">
        <f>'سجل النقل'!C32</f>
        <v>احمد دنقل</v>
      </c>
      <c r="B30" t="str">
        <f>'سجل النقل'!F32</f>
        <v>ا ص ا 7810</v>
      </c>
      <c r="C30" s="34" t="s">
        <v>379</v>
      </c>
      <c r="D30" s="1">
        <f>'سجل النقل'!L32</f>
        <v>46623</v>
      </c>
      <c r="E30">
        <f ca="1">'سجل النقل'!M32</f>
        <v>362</v>
      </c>
      <c r="F30">
        <f t="shared" ca="1" si="0"/>
        <v>362.00029999999998</v>
      </c>
    </row>
    <row r="31" spans="1:6">
      <c r="A31" t="str">
        <f>'سجل النقل'!C33</f>
        <v>محمد عبدالرحمن السيد المندوه</v>
      </c>
      <c r="B31" t="str">
        <f>'سجل النقل'!F33</f>
        <v>أ ص ق 6855</v>
      </c>
      <c r="C31" s="34" t="s">
        <v>379</v>
      </c>
      <c r="D31" s="1">
        <f>'سجل النقل'!L33</f>
        <v>46478</v>
      </c>
      <c r="E31">
        <f ca="1">'سجل النقل'!M33</f>
        <v>217</v>
      </c>
      <c r="F31">
        <f t="shared" ca="1" si="0"/>
        <v>217.00031000000001</v>
      </c>
    </row>
    <row r="32" spans="1:6">
      <c r="A32" t="str">
        <f>'سجل النقل'!C5</f>
        <v>شمون مياه ادريس مياه</v>
      </c>
      <c r="B32" t="str">
        <f>'سجل النقل'!F5</f>
        <v>ا س م  8013</v>
      </c>
      <c r="C32" s="34" t="s">
        <v>380</v>
      </c>
      <c r="D32" s="1">
        <f>'سجل النقل'!N5</f>
        <v>46397</v>
      </c>
      <c r="E32">
        <f ca="1">'سجل النقل'!O5</f>
        <v>136</v>
      </c>
      <c r="F32">
        <f t="shared" ca="1" si="0"/>
        <v>136.00031999999999</v>
      </c>
    </row>
    <row r="33" spans="1:6">
      <c r="A33" t="str">
        <f>'سجل النقل'!C6</f>
        <v>مد سيف</v>
      </c>
      <c r="B33" t="str">
        <f>'سجل النقل'!F6</f>
        <v>أ س م 8025</v>
      </c>
      <c r="C33" s="34" t="s">
        <v>380</v>
      </c>
      <c r="D33" s="1">
        <f>'سجل النقل'!N6</f>
        <v>46398</v>
      </c>
      <c r="E33">
        <f ca="1">'سجل النقل'!O6</f>
        <v>137</v>
      </c>
      <c r="F33">
        <f t="shared" ca="1" si="0"/>
        <v>137.00032999999999</v>
      </c>
    </row>
    <row r="34" spans="1:6">
      <c r="A34" t="str">
        <f>'سجل النقل'!C7</f>
        <v>محمد عبدالصبور عبدالعزيز</v>
      </c>
      <c r="B34" t="str">
        <f>'سجل النقل'!F7</f>
        <v>ا س م 8024</v>
      </c>
      <c r="C34" s="34" t="s">
        <v>380</v>
      </c>
      <c r="D34" s="1">
        <f>'سجل النقل'!N7</f>
        <v>46398</v>
      </c>
      <c r="E34">
        <f ca="1">'سجل النقل'!O7</f>
        <v>137</v>
      </c>
      <c r="F34">
        <f t="shared" ref="F34:F65" ca="1" si="1">IF(ISNUMBER(E34),E34+ROW()/100000,"")</f>
        <v>137.00033999999999</v>
      </c>
    </row>
    <row r="35" spans="1:6">
      <c r="A35" t="str">
        <f>'سجل النقل'!C8</f>
        <v>كابيل مياه</v>
      </c>
      <c r="B35" t="str">
        <f>'سجل النقل'!F8</f>
        <v>ا س ح  8714</v>
      </c>
      <c r="C35" s="34" t="s">
        <v>380</v>
      </c>
      <c r="D35" s="1">
        <f>'سجل النقل'!N8</f>
        <v>47192</v>
      </c>
      <c r="E35">
        <f ca="1">'سجل النقل'!O8</f>
        <v>931</v>
      </c>
      <c r="F35">
        <f t="shared" ca="1" si="1"/>
        <v>931.00035000000003</v>
      </c>
    </row>
    <row r="36" spans="1:6">
      <c r="A36" t="str">
        <f>'سجل النقل'!C9</f>
        <v>تنفير حسين</v>
      </c>
      <c r="B36" t="str">
        <f>'سجل النقل'!F9</f>
        <v>ا ر ع  2234</v>
      </c>
      <c r="C36" s="34" t="s">
        <v>380</v>
      </c>
      <c r="D36" s="1">
        <f>'سجل النقل'!N9</f>
        <v>46272</v>
      </c>
      <c r="E36">
        <f ca="1">'سجل النقل'!O9</f>
        <v>11</v>
      </c>
      <c r="F36">
        <f t="shared" ca="1" si="1"/>
        <v>11.000360000000001</v>
      </c>
    </row>
    <row r="37" spans="1:6">
      <c r="A37" t="str">
        <f>'سجل النقل'!C10</f>
        <v>محمد مصلح حمادي محسن</v>
      </c>
      <c r="B37" t="str">
        <f>'سجل النقل'!F10</f>
        <v>ا ر و 4140</v>
      </c>
      <c r="C37" s="34" t="s">
        <v>380</v>
      </c>
      <c r="D37" s="1">
        <f>'سجل النقل'!N10</f>
        <v>46997</v>
      </c>
      <c r="E37">
        <f ca="1">'سجل النقل'!O10</f>
        <v>736</v>
      </c>
      <c r="F37">
        <f t="shared" ca="1" si="1"/>
        <v>736.00036999999998</v>
      </c>
    </row>
    <row r="38" spans="1:6">
      <c r="A38" t="str">
        <f>'سجل النقل'!C11</f>
        <v>مارييل فينود</v>
      </c>
      <c r="B38" t="str">
        <f>'سجل النقل'!F11</f>
        <v>ا س  8015</v>
      </c>
      <c r="C38" s="34" t="s">
        <v>380</v>
      </c>
      <c r="D38" s="1">
        <f>'سجل النقل'!N11</f>
        <v>46398</v>
      </c>
      <c r="E38">
        <f ca="1">'سجل النقل'!O11</f>
        <v>137</v>
      </c>
      <c r="F38">
        <f t="shared" ca="1" si="1"/>
        <v>137.00038000000001</v>
      </c>
    </row>
    <row r="39" spans="1:6">
      <c r="A39" t="str">
        <f>'سجل النقل'!C12</f>
        <v>محمد يونس</v>
      </c>
      <c r="B39" t="str">
        <f>'سجل النقل'!F12</f>
        <v>ا س ق 7776</v>
      </c>
      <c r="C39" s="34" t="s">
        <v>380</v>
      </c>
      <c r="D39" s="1">
        <f>'سجل النقل'!N12</f>
        <v>46282</v>
      </c>
      <c r="E39">
        <f ca="1">'سجل النقل'!O12</f>
        <v>21</v>
      </c>
      <c r="F39">
        <f t="shared" ca="1" si="1"/>
        <v>21.000389999999999</v>
      </c>
    </row>
    <row r="40" spans="1:6">
      <c r="A40" t="str">
        <f>'سجل النقل'!C13</f>
        <v>ابراهيم محمد ابوزيد محمد</v>
      </c>
      <c r="B40" t="str">
        <f>'سجل النقل'!F13</f>
        <v>ا ر ع 2232</v>
      </c>
      <c r="C40" s="34" t="s">
        <v>380</v>
      </c>
      <c r="D40" s="1">
        <f>'سجل النقل'!N13</f>
        <v>46265</v>
      </c>
      <c r="E40">
        <f ca="1">'سجل النقل'!O13</f>
        <v>4</v>
      </c>
      <c r="F40">
        <f t="shared" ca="1" si="1"/>
        <v>4.0004</v>
      </c>
    </row>
    <row r="41" spans="1:6">
      <c r="A41" t="str">
        <f>'سجل النقل'!C14</f>
        <v>انفير كاريماري عمير</v>
      </c>
      <c r="B41" t="str">
        <f>'سجل النقل'!F14</f>
        <v>أ س ر 8873</v>
      </c>
      <c r="C41" s="34" t="s">
        <v>380</v>
      </c>
      <c r="D41" s="1">
        <f>'سجل النقل'!N14</f>
        <v>46221</v>
      </c>
      <c r="E41">
        <f ca="1">'سجل النقل'!O14</f>
        <v>-40</v>
      </c>
      <c r="F41">
        <f t="shared" ca="1" si="1"/>
        <v>-39.999589999999998</v>
      </c>
    </row>
    <row r="42" spans="1:6">
      <c r="A42" t="str">
        <f>'سجل النقل'!C15</f>
        <v>ارجوان</v>
      </c>
      <c r="B42" t="str">
        <f>'سجل النقل'!F15</f>
        <v>ا س م 8033</v>
      </c>
      <c r="C42" s="34" t="s">
        <v>380</v>
      </c>
      <c r="D42" s="1">
        <f>'سجل النقل'!N15</f>
        <v>46398</v>
      </c>
      <c r="E42">
        <f ca="1">'سجل النقل'!O15</f>
        <v>137</v>
      </c>
      <c r="F42">
        <f t="shared" ca="1" si="1"/>
        <v>137.00041999999999</v>
      </c>
    </row>
    <row r="43" spans="1:6">
      <c r="A43" t="str">
        <f>'سجل النقل'!C16</f>
        <v>اجيت راجا</v>
      </c>
      <c r="B43" t="str">
        <f>'سجل النقل'!F16</f>
        <v>ا ر و 4084</v>
      </c>
      <c r="C43" s="34" t="s">
        <v>380</v>
      </c>
      <c r="D43" s="1">
        <f>'سجل النقل'!N16</f>
        <v>46858</v>
      </c>
      <c r="E43">
        <f ca="1">'سجل النقل'!O16</f>
        <v>597</v>
      </c>
      <c r="F43">
        <f t="shared" ca="1" si="1"/>
        <v>597.00043000000005</v>
      </c>
    </row>
    <row r="44" spans="1:6">
      <c r="A44" t="str">
        <f>'سجل النقل'!C17</f>
        <v>سليم اختر محمد</v>
      </c>
      <c r="B44" t="str">
        <f>'سجل النقل'!F17</f>
        <v>ا س ح 8670</v>
      </c>
      <c r="C44" s="34" t="s">
        <v>380</v>
      </c>
      <c r="D44" s="1">
        <f>'سجل النقل'!N17</f>
        <v>47153</v>
      </c>
      <c r="E44">
        <f ca="1">'سجل النقل'!O17</f>
        <v>892</v>
      </c>
      <c r="F44">
        <f t="shared" ca="1" si="1"/>
        <v>892.00044000000003</v>
      </c>
    </row>
    <row r="45" spans="1:6">
      <c r="A45" t="str">
        <f>'سجل النقل'!C18</f>
        <v>احمد رشوان</v>
      </c>
      <c r="B45" t="str">
        <f>'سجل النقل'!F18</f>
        <v>ا ص ق 6853</v>
      </c>
      <c r="C45" s="34" t="s">
        <v>380</v>
      </c>
      <c r="D45" s="1">
        <f>'سجل النقل'!N18</f>
        <v>46583</v>
      </c>
      <c r="E45">
        <f ca="1">'سجل النقل'!O18</f>
        <v>322</v>
      </c>
      <c r="F45">
        <f t="shared" ca="1" si="1"/>
        <v>322.00045</v>
      </c>
    </row>
    <row r="46" spans="1:6">
      <c r="A46" t="str">
        <f>'سجل النقل'!C19</f>
        <v>اسف باث شوهل</v>
      </c>
      <c r="B46" t="str">
        <f>'سجل النقل'!F19</f>
        <v>ا س ح  8717</v>
      </c>
      <c r="C46" s="34" t="s">
        <v>380</v>
      </c>
      <c r="D46" s="1">
        <f>'سجل النقل'!N19</f>
        <v>47192</v>
      </c>
      <c r="E46">
        <f ca="1">'سجل النقل'!O19</f>
        <v>931</v>
      </c>
      <c r="F46">
        <f t="shared" ca="1" si="1"/>
        <v>931.00045999999998</v>
      </c>
    </row>
    <row r="47" spans="1:6">
      <c r="A47" t="str">
        <f>'سجل النقل'!C20</f>
        <v>فالق سجاد سجاد</v>
      </c>
      <c r="B47" t="str">
        <f>'سجل النقل'!F20</f>
        <v>ا س م 8029</v>
      </c>
      <c r="C47" s="34" t="s">
        <v>380</v>
      </c>
      <c r="D47" s="1">
        <f>'سجل النقل'!N20</f>
        <v>46398</v>
      </c>
      <c r="E47">
        <f ca="1">'سجل النقل'!O20</f>
        <v>137</v>
      </c>
      <c r="F47">
        <f t="shared" ca="1" si="1"/>
        <v>137.00047000000001</v>
      </c>
    </row>
    <row r="48" spans="1:6">
      <c r="A48" t="str">
        <f>'سجل النقل'!C21</f>
        <v>موزيد خان</v>
      </c>
      <c r="B48" t="str">
        <f>'سجل النقل'!F21</f>
        <v>ا س ل 8850</v>
      </c>
      <c r="C48" s="34" t="s">
        <v>380</v>
      </c>
      <c r="D48" s="1">
        <f>'سجل النقل'!N21</f>
        <v>46303</v>
      </c>
      <c r="E48">
        <f ca="1">'سجل النقل'!O21</f>
        <v>42</v>
      </c>
      <c r="F48">
        <f t="shared" ca="1" si="1"/>
        <v>42.000480000000003</v>
      </c>
    </row>
    <row r="49" spans="1:6">
      <c r="A49" t="str">
        <f>'سجل النقل'!C22</f>
        <v>بسام علي احمد الجلال</v>
      </c>
      <c r="B49" t="str">
        <f>'سجل النقل'!F22</f>
        <v>ا س م 8023</v>
      </c>
      <c r="C49" s="34" t="s">
        <v>380</v>
      </c>
      <c r="D49" s="1">
        <f>'سجل النقل'!N22</f>
        <v>46398</v>
      </c>
      <c r="E49">
        <f ca="1">'سجل النقل'!O22</f>
        <v>137</v>
      </c>
      <c r="F49">
        <f t="shared" ca="1" si="1"/>
        <v>137.00049000000001</v>
      </c>
    </row>
    <row r="50" spans="1:6">
      <c r="A50" t="str">
        <f>'سجل النقل'!C23</f>
        <v>كرم ابو الهدى صادق</v>
      </c>
      <c r="B50" t="str">
        <f>'سجل النقل'!F23</f>
        <v>ا ر و  4071</v>
      </c>
      <c r="C50" s="34" t="s">
        <v>380</v>
      </c>
      <c r="D50" s="1">
        <f>'سجل النقل'!N23</f>
        <v>46858</v>
      </c>
      <c r="E50">
        <f ca="1">'سجل النقل'!O23</f>
        <v>597</v>
      </c>
      <c r="F50">
        <f t="shared" ca="1" si="1"/>
        <v>597.00049999999999</v>
      </c>
    </row>
    <row r="51" spans="1:6">
      <c r="A51" t="str">
        <f>'سجل النقل'!C24</f>
        <v>مران حسين مد تارو</v>
      </c>
      <c r="B51" t="str">
        <f>'سجل النقل'!F24</f>
        <v>ا س م 8031</v>
      </c>
      <c r="C51" s="34" t="s">
        <v>380</v>
      </c>
      <c r="D51" s="1">
        <f>'سجل النقل'!N24</f>
        <v>46398</v>
      </c>
      <c r="E51">
        <f ca="1">'سجل النقل'!O24</f>
        <v>137</v>
      </c>
      <c r="F51">
        <f t="shared" ca="1" si="1"/>
        <v>137.00050999999999</v>
      </c>
    </row>
    <row r="52" spans="1:6">
      <c r="A52" t="str">
        <f>'سجل النقل'!C25</f>
        <v>محمد عبدالحميد محمد</v>
      </c>
      <c r="B52" t="str">
        <f>'سجل النقل'!F25</f>
        <v>ا س م  8035</v>
      </c>
      <c r="C52" s="34" t="s">
        <v>380</v>
      </c>
      <c r="D52" s="1">
        <f>'سجل النقل'!N25</f>
        <v>46398</v>
      </c>
      <c r="E52">
        <f ca="1">'سجل النقل'!O25</f>
        <v>137</v>
      </c>
      <c r="F52">
        <f t="shared" ca="1" si="1"/>
        <v>137.00051999999999</v>
      </c>
    </row>
    <row r="53" spans="1:6">
      <c r="A53" t="str">
        <f>'سجل النقل'!C26</f>
        <v>احمد عبدالصبور رشوان</v>
      </c>
      <c r="B53" t="str">
        <f>'سجل النقل'!F26</f>
        <v>ا س م  8021</v>
      </c>
      <c r="C53" s="34" t="s">
        <v>380</v>
      </c>
      <c r="D53" s="1">
        <f>'سجل النقل'!N26</f>
        <v>46398</v>
      </c>
      <c r="E53">
        <f ca="1">'سجل النقل'!O26</f>
        <v>137</v>
      </c>
      <c r="F53">
        <f t="shared" ca="1" si="1"/>
        <v>137.00053</v>
      </c>
    </row>
    <row r="54" spans="1:6">
      <c r="A54" t="str">
        <f>'سجل النقل'!C27</f>
        <v>انصار الم</v>
      </c>
      <c r="B54" t="str">
        <f>'سجل النقل'!F27</f>
        <v>ا ر و  4139</v>
      </c>
      <c r="C54" s="34" t="s">
        <v>380</v>
      </c>
      <c r="D54" s="1">
        <f>'سجل النقل'!N27</f>
        <v>46997</v>
      </c>
      <c r="E54">
        <f ca="1">'سجل النقل'!O27</f>
        <v>736</v>
      </c>
      <c r="F54">
        <f t="shared" ca="1" si="1"/>
        <v>736.00054</v>
      </c>
    </row>
    <row r="55" spans="1:6">
      <c r="A55" t="str">
        <f>'سجل النقل'!C28</f>
        <v>شندان دبينات</v>
      </c>
      <c r="B55" t="str">
        <f>'سجل النقل'!F28</f>
        <v>ا ر و 4141</v>
      </c>
      <c r="C55" s="34" t="s">
        <v>380</v>
      </c>
      <c r="D55" s="1">
        <f>'سجل النقل'!N28</f>
        <v>46997</v>
      </c>
      <c r="E55">
        <f ca="1">'سجل النقل'!O28</f>
        <v>736</v>
      </c>
      <c r="F55">
        <f t="shared" ca="1" si="1"/>
        <v>736.00054999999998</v>
      </c>
    </row>
    <row r="56" spans="1:6">
      <c r="A56" t="str">
        <f>'سجل النقل'!C29</f>
        <v>علي محمد ابوزيد محمد</v>
      </c>
      <c r="B56" t="str">
        <f>'سجل النقل'!F29</f>
        <v>ا ر ع 2240</v>
      </c>
      <c r="C56" s="34" t="s">
        <v>380</v>
      </c>
      <c r="D56" s="1">
        <f>'سجل النقل'!N29</f>
        <v>46272</v>
      </c>
      <c r="E56">
        <f ca="1">'سجل النقل'!O29</f>
        <v>11</v>
      </c>
      <c r="F56">
        <f t="shared" ca="1" si="1"/>
        <v>11.00056</v>
      </c>
    </row>
    <row r="57" spans="1:6">
      <c r="A57" t="str">
        <f>'سجل النقل'!C30</f>
        <v>شوكت علي</v>
      </c>
      <c r="B57" t="str">
        <f>'سجل النقل'!F30</f>
        <v>ا س ق 7920</v>
      </c>
      <c r="C57" s="34" t="s">
        <v>380</v>
      </c>
      <c r="D57" s="1">
        <f>'سجل النقل'!N30</f>
        <v>46275</v>
      </c>
      <c r="E57">
        <f ca="1">'سجل النقل'!O30</f>
        <v>14</v>
      </c>
      <c r="F57">
        <f t="shared" ca="1" si="1"/>
        <v>14.00057</v>
      </c>
    </row>
    <row r="58" spans="1:6">
      <c r="A58" t="str">
        <f>""</f>
        <v/>
      </c>
      <c r="B58" t="str">
        <f>""</f>
        <v/>
      </c>
      <c r="C58" s="34" t="s">
        <v>380</v>
      </c>
      <c r="D58" s="1" t="str">
        <f>""</f>
        <v/>
      </c>
      <c r="E58" t="str">
        <f>""</f>
        <v/>
      </c>
      <c r="F58" t="str">
        <f t="shared" si="1"/>
        <v/>
      </c>
    </row>
    <row r="59" spans="1:6">
      <c r="A59" t="str">
        <f>'سجل النقل'!C31</f>
        <v>انال كومار</v>
      </c>
      <c r="B59" t="str">
        <f>'سجل النقل'!F31</f>
        <v>ا س ح 8715</v>
      </c>
      <c r="C59" s="34" t="s">
        <v>380</v>
      </c>
      <c r="D59" s="1">
        <f>'سجل النقل'!N31</f>
        <v>47210</v>
      </c>
      <c r="E59">
        <f ca="1">'سجل النقل'!O31</f>
        <v>949</v>
      </c>
      <c r="F59">
        <f t="shared" ca="1" si="1"/>
        <v>949.00058999999999</v>
      </c>
    </row>
    <row r="60" spans="1:6">
      <c r="A60" t="str">
        <f>'سجل النقل'!C32</f>
        <v>احمد دنقل</v>
      </c>
      <c r="B60" t="str">
        <f>'سجل النقل'!F32</f>
        <v>ا ص ا 7810</v>
      </c>
      <c r="C60" s="34" t="s">
        <v>380</v>
      </c>
      <c r="D60" s="1">
        <f>'سجل النقل'!N32</f>
        <v>46499</v>
      </c>
      <c r="E60">
        <f ca="1">'سجل النقل'!O32</f>
        <v>238</v>
      </c>
      <c r="F60">
        <f t="shared" ca="1" si="1"/>
        <v>238.00059999999999</v>
      </c>
    </row>
    <row r="61" spans="1:6">
      <c r="A61" t="str">
        <f>'سجل النقل'!C33</f>
        <v>محمد عبدالرحمن السيد المندوه</v>
      </c>
      <c r="B61" t="str">
        <f>'سجل النقل'!F33</f>
        <v>أ ص ق 6855</v>
      </c>
      <c r="C61" s="34" t="s">
        <v>380</v>
      </c>
      <c r="D61" s="1">
        <f>'سجل النقل'!N33</f>
        <v>46592</v>
      </c>
      <c r="E61">
        <f ca="1">'سجل النقل'!O33</f>
        <v>331</v>
      </c>
      <c r="F61">
        <f t="shared" ca="1" si="1"/>
        <v>331.00060999999999</v>
      </c>
    </row>
    <row r="62" spans="1:6">
      <c r="A62" t="str">
        <f>'سجل النقل'!C5</f>
        <v>شمون مياه ادريس مياه</v>
      </c>
      <c r="B62" t="str">
        <f>'سجل النقل'!F5</f>
        <v>ا س م  8013</v>
      </c>
      <c r="C62" s="34" t="s">
        <v>381</v>
      </c>
      <c r="D62" s="1">
        <f>'سجل النقل'!P5</f>
        <v>46515</v>
      </c>
      <c r="E62">
        <f ca="1">'سجل النقل'!Q5</f>
        <v>254</v>
      </c>
      <c r="F62">
        <f t="shared" ca="1" si="1"/>
        <v>254.00062</v>
      </c>
    </row>
    <row r="63" spans="1:6">
      <c r="A63" t="str">
        <f>'سجل النقل'!C6</f>
        <v>مد سيف</v>
      </c>
      <c r="B63" t="str">
        <f>'سجل النقل'!F6</f>
        <v>أ س م 8025</v>
      </c>
      <c r="C63" s="34" t="s">
        <v>381</v>
      </c>
      <c r="D63" s="1">
        <f>'سجل النقل'!P6</f>
        <v>46515</v>
      </c>
      <c r="E63">
        <f ca="1">'سجل النقل'!Q6</f>
        <v>254</v>
      </c>
      <c r="F63">
        <f t="shared" ca="1" si="1"/>
        <v>254.00063</v>
      </c>
    </row>
    <row r="64" spans="1:6">
      <c r="A64" t="str">
        <f>'سجل النقل'!C7</f>
        <v>محمد عبدالصبور عبدالعزيز</v>
      </c>
      <c r="B64" t="str">
        <f>'سجل النقل'!F7</f>
        <v>ا س م 8024</v>
      </c>
      <c r="C64" s="34" t="s">
        <v>381</v>
      </c>
      <c r="D64" s="1">
        <f>'سجل النقل'!P7</f>
        <v>46515</v>
      </c>
      <c r="E64">
        <f ca="1">'سجل النقل'!Q7</f>
        <v>254</v>
      </c>
      <c r="F64">
        <f t="shared" ca="1" si="1"/>
        <v>254.00064</v>
      </c>
    </row>
    <row r="65" spans="1:6">
      <c r="A65" t="str">
        <f>'سجل النقل'!C8</f>
        <v>كابيل مياه</v>
      </c>
      <c r="B65" t="str">
        <f>'سجل النقل'!F8</f>
        <v>ا س ح  8714</v>
      </c>
      <c r="C65" s="34" t="s">
        <v>381</v>
      </c>
      <c r="D65" s="1">
        <f>'سجل النقل'!P8</f>
        <v>46198</v>
      </c>
      <c r="E65">
        <f ca="1">'سجل النقل'!Q8</f>
        <v>-63</v>
      </c>
      <c r="F65">
        <f t="shared" ca="1" si="1"/>
        <v>-62.99935</v>
      </c>
    </row>
    <row r="66" spans="1:6">
      <c r="A66" t="str">
        <f>'سجل النقل'!C9</f>
        <v>تنفير حسين</v>
      </c>
      <c r="B66" t="str">
        <f>'سجل النقل'!F9</f>
        <v>ا ر ع  2234</v>
      </c>
      <c r="C66" s="34" t="s">
        <v>381</v>
      </c>
      <c r="D66" s="1">
        <f>'سجل النقل'!P9</f>
        <v>46515</v>
      </c>
      <c r="E66">
        <f ca="1">'سجل النقل'!Q9</f>
        <v>254</v>
      </c>
      <c r="F66">
        <f t="shared" ref="F66:F97" ca="1" si="2">IF(ISNUMBER(E66),E66+ROW()/100000,"")</f>
        <v>254.00066000000001</v>
      </c>
    </row>
    <row r="67" spans="1:6">
      <c r="A67" t="str">
        <f>'سجل النقل'!C10</f>
        <v>محمد مصلح حمادي محسن</v>
      </c>
      <c r="B67" t="str">
        <f>'سجل النقل'!F10</f>
        <v>ا ر و 4140</v>
      </c>
      <c r="C67" s="34" t="s">
        <v>381</v>
      </c>
      <c r="D67" s="1">
        <f>'سجل النقل'!P10</f>
        <v>46505</v>
      </c>
      <c r="E67">
        <f ca="1">'سجل النقل'!Q10</f>
        <v>244</v>
      </c>
      <c r="F67">
        <f t="shared" ca="1" si="2"/>
        <v>244.00067000000001</v>
      </c>
    </row>
    <row r="68" spans="1:6">
      <c r="A68" t="str">
        <f>'سجل النقل'!C11</f>
        <v>مارييل فينود</v>
      </c>
      <c r="B68" t="str">
        <f>'سجل النقل'!F11</f>
        <v>ا س  8015</v>
      </c>
      <c r="C68" s="34" t="s">
        <v>381</v>
      </c>
      <c r="D68" s="1">
        <f>'سجل النقل'!P11</f>
        <v>46528</v>
      </c>
      <c r="E68">
        <f ca="1">'سجل النقل'!Q11</f>
        <v>267</v>
      </c>
      <c r="F68">
        <f t="shared" ca="1" si="2"/>
        <v>267.00067999999999</v>
      </c>
    </row>
    <row r="69" spans="1:6">
      <c r="A69" t="str">
        <f>'سجل النقل'!C12</f>
        <v>محمد يونس</v>
      </c>
      <c r="B69" t="str">
        <f>'سجل النقل'!F12</f>
        <v>ا س ق 7776</v>
      </c>
      <c r="C69" s="34" t="s">
        <v>381</v>
      </c>
      <c r="D69" s="1">
        <f>'سجل النقل'!P12</f>
        <v>46516</v>
      </c>
      <c r="E69">
        <f ca="1">'سجل النقل'!Q12</f>
        <v>255</v>
      </c>
      <c r="F69">
        <f t="shared" ca="1" si="2"/>
        <v>255.00068999999999</v>
      </c>
    </row>
    <row r="70" spans="1:6">
      <c r="A70" t="str">
        <f>'سجل النقل'!C13</f>
        <v>ابراهيم محمد ابوزيد محمد</v>
      </c>
      <c r="B70" t="str">
        <f>'سجل النقل'!F13</f>
        <v>ا ر ع 2232</v>
      </c>
      <c r="C70" s="34" t="s">
        <v>381</v>
      </c>
      <c r="D70" s="1">
        <f>'سجل النقل'!P13</f>
        <v>46515</v>
      </c>
      <c r="E70">
        <f ca="1">'سجل النقل'!Q13</f>
        <v>254</v>
      </c>
      <c r="F70">
        <f t="shared" ca="1" si="2"/>
        <v>254.00069999999999</v>
      </c>
    </row>
    <row r="71" spans="1:6">
      <c r="A71" t="str">
        <f>'سجل النقل'!C14</f>
        <v>انفير كاريماري عمير</v>
      </c>
      <c r="B71" t="str">
        <f>'سجل النقل'!F14</f>
        <v>أ س ر 8873</v>
      </c>
      <c r="C71" s="34" t="s">
        <v>381</v>
      </c>
      <c r="D71" s="1">
        <f>'سجل النقل'!P14</f>
        <v>46513</v>
      </c>
      <c r="E71">
        <f ca="1">'سجل النقل'!Q14</f>
        <v>252</v>
      </c>
      <c r="F71">
        <f t="shared" ca="1" si="2"/>
        <v>252.00071</v>
      </c>
    </row>
    <row r="72" spans="1:6">
      <c r="A72" t="str">
        <f>'سجل النقل'!C15</f>
        <v>ارجوان</v>
      </c>
      <c r="B72" t="str">
        <f>'سجل النقل'!F15</f>
        <v>ا س م 8033</v>
      </c>
      <c r="C72" s="34" t="s">
        <v>381</v>
      </c>
      <c r="D72" s="1">
        <f>'سجل النقل'!P15</f>
        <v>46515</v>
      </c>
      <c r="E72">
        <f ca="1">'سجل النقل'!Q15</f>
        <v>254</v>
      </c>
      <c r="F72">
        <f t="shared" ca="1" si="2"/>
        <v>254.00072</v>
      </c>
    </row>
    <row r="73" spans="1:6">
      <c r="A73" t="str">
        <f>'سجل النقل'!C16</f>
        <v>اجيت راجا</v>
      </c>
      <c r="B73" t="str">
        <f>'سجل النقل'!F16</f>
        <v>ا ر و 4084</v>
      </c>
      <c r="C73" s="34" t="s">
        <v>381</v>
      </c>
      <c r="D73" s="1">
        <f>'سجل النقل'!P16</f>
        <v>46388</v>
      </c>
      <c r="E73">
        <f ca="1">'سجل النقل'!Q16</f>
        <v>127</v>
      </c>
      <c r="F73">
        <f t="shared" ca="1" si="2"/>
        <v>127.00073</v>
      </c>
    </row>
    <row r="74" spans="1:6">
      <c r="A74" t="str">
        <f>'سجل النقل'!C17</f>
        <v>سليم اختر محمد</v>
      </c>
      <c r="B74" t="str">
        <f>'سجل النقل'!F17</f>
        <v>ا س ح 8670</v>
      </c>
      <c r="C74" s="34" t="s">
        <v>381</v>
      </c>
      <c r="D74" s="1">
        <f>'سجل النقل'!P17</f>
        <v>46296</v>
      </c>
      <c r="E74">
        <f ca="1">'سجل النقل'!Q17</f>
        <v>35</v>
      </c>
      <c r="F74">
        <f t="shared" ca="1" si="2"/>
        <v>35.00074</v>
      </c>
    </row>
    <row r="75" spans="1:6">
      <c r="A75" t="str">
        <f>'سجل النقل'!C18</f>
        <v>احمد رشوان</v>
      </c>
      <c r="B75" t="str">
        <f>'سجل النقل'!F18</f>
        <v>ا ص ق 6853</v>
      </c>
      <c r="C75" s="34" t="s">
        <v>381</v>
      </c>
      <c r="D75" s="1">
        <f>'سجل النقل'!P18</f>
        <v>46330</v>
      </c>
      <c r="E75">
        <f ca="1">'سجل النقل'!Q18</f>
        <v>69</v>
      </c>
      <c r="F75">
        <f t="shared" ca="1" si="2"/>
        <v>69.000749999999996</v>
      </c>
    </row>
    <row r="76" spans="1:6">
      <c r="A76" t="str">
        <f>'سجل النقل'!C19</f>
        <v>اسف باث شوهل</v>
      </c>
      <c r="B76" t="str">
        <f>'سجل النقل'!F19</f>
        <v>ا س ح  8717</v>
      </c>
      <c r="C76" s="34" t="s">
        <v>381</v>
      </c>
      <c r="D76" s="1">
        <f>'سجل النقل'!P19</f>
        <v>46417</v>
      </c>
      <c r="E76">
        <f ca="1">'سجل النقل'!Q19</f>
        <v>156</v>
      </c>
      <c r="F76">
        <f t="shared" ca="1" si="2"/>
        <v>156.00076000000001</v>
      </c>
    </row>
    <row r="77" spans="1:6">
      <c r="A77" t="str">
        <f>'سجل النقل'!C20</f>
        <v>فالق سجاد سجاد</v>
      </c>
      <c r="B77" t="str">
        <f>'سجل النقل'!F20</f>
        <v>ا س م 8029</v>
      </c>
      <c r="C77" s="34" t="s">
        <v>381</v>
      </c>
      <c r="D77" s="1">
        <f>'سجل النقل'!P20</f>
        <v>46386</v>
      </c>
      <c r="E77">
        <f ca="1">'سجل النقل'!Q20</f>
        <v>125</v>
      </c>
      <c r="F77">
        <f t="shared" ca="1" si="2"/>
        <v>125.00077</v>
      </c>
    </row>
    <row r="78" spans="1:6">
      <c r="A78" t="str">
        <f>'سجل النقل'!C21</f>
        <v>موزيد خان</v>
      </c>
      <c r="B78" t="str">
        <f>'سجل النقل'!F21</f>
        <v>ا س ل 8850</v>
      </c>
      <c r="C78" s="34" t="s">
        <v>381</v>
      </c>
      <c r="D78" s="1">
        <f>'سجل النقل'!P21</f>
        <v>46515</v>
      </c>
      <c r="E78">
        <f ca="1">'سجل النقل'!Q21</f>
        <v>254</v>
      </c>
      <c r="F78">
        <f t="shared" ca="1" si="2"/>
        <v>254.00077999999999</v>
      </c>
    </row>
    <row r="79" spans="1:6">
      <c r="A79" t="str">
        <f>'سجل النقل'!C22</f>
        <v>بسام علي احمد الجلال</v>
      </c>
      <c r="B79" t="str">
        <f>'سجل النقل'!F22</f>
        <v>ا س م 8023</v>
      </c>
      <c r="C79" s="34" t="s">
        <v>381</v>
      </c>
      <c r="D79" s="1">
        <f>'سجل النقل'!P22</f>
        <v>46500</v>
      </c>
      <c r="E79">
        <f ca="1">'سجل النقل'!Q22</f>
        <v>239</v>
      </c>
      <c r="F79">
        <f t="shared" ca="1" si="2"/>
        <v>239.00078999999999</v>
      </c>
    </row>
    <row r="80" spans="1:6">
      <c r="A80" t="str">
        <f>'سجل النقل'!C23</f>
        <v>كرم ابو الهدى صادق</v>
      </c>
      <c r="B80" t="str">
        <f>'سجل النقل'!F23</f>
        <v>ا ر و  4071</v>
      </c>
      <c r="C80" s="34" t="s">
        <v>381</v>
      </c>
      <c r="D80" s="1">
        <f>'سجل النقل'!P23</f>
        <v>46504</v>
      </c>
      <c r="E80">
        <f ca="1">'سجل النقل'!Q23</f>
        <v>243</v>
      </c>
      <c r="F80">
        <f t="shared" ca="1" si="2"/>
        <v>243.0008</v>
      </c>
    </row>
    <row r="81" spans="1:6">
      <c r="A81" t="str">
        <f>'سجل النقل'!C24</f>
        <v>مران حسين مد تارو</v>
      </c>
      <c r="B81" t="str">
        <f>'سجل النقل'!F24</f>
        <v>ا س م 8031</v>
      </c>
      <c r="C81" s="34" t="s">
        <v>381</v>
      </c>
      <c r="D81" s="1">
        <f>'سجل النقل'!P24</f>
        <v>46515</v>
      </c>
      <c r="E81">
        <f ca="1">'سجل النقل'!Q24</f>
        <v>254</v>
      </c>
      <c r="F81">
        <f t="shared" ca="1" si="2"/>
        <v>254.00081</v>
      </c>
    </row>
    <row r="82" spans="1:6">
      <c r="A82" t="str">
        <f>'سجل النقل'!C25</f>
        <v>محمد عبدالحميد محمد</v>
      </c>
      <c r="B82" t="str">
        <f>'سجل النقل'!F25</f>
        <v>ا س م  8035</v>
      </c>
      <c r="C82" s="34" t="s">
        <v>381</v>
      </c>
      <c r="D82" s="1">
        <f>'سجل النقل'!P25</f>
        <v>46515</v>
      </c>
      <c r="E82">
        <f ca="1">'سجل النقل'!Q25</f>
        <v>254</v>
      </c>
      <c r="F82">
        <f t="shared" ca="1" si="2"/>
        <v>254.00082</v>
      </c>
    </row>
    <row r="83" spans="1:6">
      <c r="A83" t="str">
        <f>'سجل النقل'!C26</f>
        <v>احمد عبدالصبور رشوان</v>
      </c>
      <c r="B83" t="str">
        <f>'سجل النقل'!F26</f>
        <v>ا س م  8021</v>
      </c>
      <c r="C83" s="34" t="s">
        <v>381</v>
      </c>
      <c r="D83" s="1">
        <f>'سجل النقل'!P26</f>
        <v>46515</v>
      </c>
      <c r="E83">
        <f ca="1">'سجل النقل'!Q26</f>
        <v>254</v>
      </c>
      <c r="F83">
        <f t="shared" ca="1" si="2"/>
        <v>254.00083000000001</v>
      </c>
    </row>
    <row r="84" spans="1:6">
      <c r="A84" t="str">
        <f>'سجل النقل'!C27</f>
        <v>انصار الم</v>
      </c>
      <c r="B84" t="str">
        <f>'سجل النقل'!F27</f>
        <v>ا ر و  4139</v>
      </c>
      <c r="C84" s="34" t="s">
        <v>381</v>
      </c>
      <c r="D84" s="1">
        <f>'سجل النقل'!P27</f>
        <v>46515</v>
      </c>
      <c r="E84">
        <f ca="1">'سجل النقل'!Q27</f>
        <v>254</v>
      </c>
      <c r="F84">
        <f t="shared" ca="1" si="2"/>
        <v>254.00084000000001</v>
      </c>
    </row>
    <row r="85" spans="1:6">
      <c r="A85" t="str">
        <f>'سجل النقل'!C28</f>
        <v>شندان دبينات</v>
      </c>
      <c r="B85" t="str">
        <f>'سجل النقل'!F28</f>
        <v>ا ر و 4141</v>
      </c>
      <c r="C85" s="34" t="s">
        <v>381</v>
      </c>
      <c r="D85" s="1">
        <f>'سجل النقل'!P28</f>
        <v>46515</v>
      </c>
      <c r="E85">
        <f ca="1">'سجل النقل'!Q28</f>
        <v>254</v>
      </c>
      <c r="F85">
        <f t="shared" ca="1" si="2"/>
        <v>254.00085000000001</v>
      </c>
    </row>
    <row r="86" spans="1:6">
      <c r="A86" t="str">
        <f>'سجل النقل'!C29</f>
        <v>علي محمد ابوزيد محمد</v>
      </c>
      <c r="B86" t="str">
        <f>'سجل النقل'!F29</f>
        <v>ا ر ع 2240</v>
      </c>
      <c r="C86" s="34" t="s">
        <v>381</v>
      </c>
      <c r="D86" s="1">
        <f>'سجل النقل'!P29</f>
        <v>46515</v>
      </c>
      <c r="E86">
        <f ca="1">'سجل النقل'!Q29</f>
        <v>254</v>
      </c>
      <c r="F86">
        <f t="shared" ca="1" si="2"/>
        <v>254.00085999999999</v>
      </c>
    </row>
    <row r="87" spans="1:6">
      <c r="A87" t="str">
        <f>'سجل النقل'!C30</f>
        <v>شوكت علي</v>
      </c>
      <c r="B87" t="str">
        <f>'سجل النقل'!F30</f>
        <v>ا س ق 7920</v>
      </c>
      <c r="C87" s="34" t="s">
        <v>381</v>
      </c>
      <c r="D87" s="1">
        <f>'سجل النقل'!P30</f>
        <v>46515</v>
      </c>
      <c r="E87">
        <f ca="1">'سجل النقل'!Q30</f>
        <v>254</v>
      </c>
      <c r="F87">
        <f t="shared" ca="1" si="2"/>
        <v>254.00086999999999</v>
      </c>
    </row>
    <row r="88" spans="1:6">
      <c r="A88" t="str">
        <f>""</f>
        <v/>
      </c>
      <c r="B88" t="str">
        <f>""</f>
        <v/>
      </c>
      <c r="C88" s="34" t="s">
        <v>381</v>
      </c>
      <c r="D88" s="1" t="str">
        <f>""</f>
        <v/>
      </c>
      <c r="E88" t="str">
        <f>""</f>
        <v/>
      </c>
      <c r="F88" t="str">
        <f t="shared" si="2"/>
        <v/>
      </c>
    </row>
    <row r="89" spans="1:6">
      <c r="A89" t="str">
        <f>'سجل النقل'!C31</f>
        <v>انال كومار</v>
      </c>
      <c r="B89" t="str">
        <f>'سجل النقل'!F31</f>
        <v>ا س ح 8715</v>
      </c>
      <c r="C89" s="34" t="s">
        <v>381</v>
      </c>
      <c r="D89" s="1">
        <f>'سجل النقل'!P31</f>
        <v>46516</v>
      </c>
      <c r="E89">
        <f ca="1">'سجل النقل'!Q31</f>
        <v>255</v>
      </c>
      <c r="F89">
        <f t="shared" ca="1" si="2"/>
        <v>255.00089</v>
      </c>
    </row>
    <row r="90" spans="1:6">
      <c r="A90" t="str">
        <f>'سجل النقل'!C32</f>
        <v>احمد دنقل</v>
      </c>
      <c r="B90" t="str">
        <f>'سجل النقل'!F32</f>
        <v>ا ص ا 7810</v>
      </c>
      <c r="C90" s="34" t="s">
        <v>381</v>
      </c>
      <c r="D90" s="1">
        <f>'سجل النقل'!P32</f>
        <v>46313</v>
      </c>
      <c r="E90">
        <f ca="1">'سجل النقل'!Q32</f>
        <v>52</v>
      </c>
      <c r="F90">
        <f t="shared" ca="1" si="2"/>
        <v>52.000900000000001</v>
      </c>
    </row>
    <row r="91" spans="1:6">
      <c r="A91" t="str">
        <f>'سجل النقل'!C33</f>
        <v>محمد عبدالرحمن السيد المندوه</v>
      </c>
      <c r="B91" t="str">
        <f>'سجل النقل'!F33</f>
        <v>أ ص ق 6855</v>
      </c>
      <c r="C91" s="34" t="s">
        <v>381</v>
      </c>
      <c r="D91" s="1">
        <f>'سجل النقل'!P33</f>
        <v>46543</v>
      </c>
      <c r="E91">
        <f ca="1">'سجل النقل'!Q33</f>
        <v>282</v>
      </c>
      <c r="F91">
        <f t="shared" ca="1" si="2"/>
        <v>282.00090999999998</v>
      </c>
    </row>
    <row r="92" spans="1:6">
      <c r="A92" t="str">
        <f>'سجل النقل'!C5</f>
        <v>شمون مياه ادريس مياه</v>
      </c>
      <c r="B92" t="str">
        <f>'سجل النقل'!F5</f>
        <v>ا س م  8013</v>
      </c>
      <c r="C92" s="34" t="s">
        <v>382</v>
      </c>
      <c r="D92" s="1">
        <f>'سجل النقل'!R5</f>
        <v>46479</v>
      </c>
      <c r="E92">
        <f ca="1">'سجل النقل'!S5</f>
        <v>218</v>
      </c>
      <c r="F92">
        <f t="shared" ca="1" si="2"/>
        <v>218.00092000000001</v>
      </c>
    </row>
    <row r="93" spans="1:6">
      <c r="A93" t="str">
        <f>'سجل النقل'!C6</f>
        <v>مد سيف</v>
      </c>
      <c r="B93" t="str">
        <f>'سجل النقل'!F6</f>
        <v>أ س م 8025</v>
      </c>
      <c r="C93" s="34" t="s">
        <v>382</v>
      </c>
      <c r="D93" s="1">
        <f>'سجل النقل'!R6</f>
        <v>46484</v>
      </c>
      <c r="E93">
        <f ca="1">'سجل النقل'!S6</f>
        <v>223</v>
      </c>
      <c r="F93">
        <f t="shared" ca="1" si="2"/>
        <v>223.00093000000001</v>
      </c>
    </row>
    <row r="94" spans="1:6">
      <c r="A94" t="str">
        <f>'سجل النقل'!C7</f>
        <v>محمد عبدالصبور عبدالعزيز</v>
      </c>
      <c r="B94" t="str">
        <f>'سجل النقل'!F7</f>
        <v>ا س م 8024</v>
      </c>
      <c r="C94" s="34" t="s">
        <v>382</v>
      </c>
      <c r="D94" s="1">
        <f>'سجل النقل'!R7</f>
        <v>46505</v>
      </c>
      <c r="E94">
        <f ca="1">'سجل النقل'!S7</f>
        <v>244</v>
      </c>
      <c r="F94">
        <f t="shared" ca="1" si="2"/>
        <v>244.00094000000001</v>
      </c>
    </row>
    <row r="95" spans="1:6">
      <c r="A95" t="str">
        <f>'سجل النقل'!C8</f>
        <v>كابيل مياه</v>
      </c>
      <c r="B95" t="str">
        <f>'سجل النقل'!F8</f>
        <v>ا س ح  8714</v>
      </c>
      <c r="C95" s="34" t="s">
        <v>382</v>
      </c>
      <c r="D95" s="1">
        <f>'سجل النقل'!R8</f>
        <v>46515</v>
      </c>
      <c r="E95">
        <f ca="1">'سجل النقل'!S8</f>
        <v>254</v>
      </c>
      <c r="F95">
        <f t="shared" ca="1" si="2"/>
        <v>254.00094999999999</v>
      </c>
    </row>
    <row r="96" spans="1:6">
      <c r="A96" t="str">
        <f>'سجل النقل'!C9</f>
        <v>تنفير حسين</v>
      </c>
      <c r="B96" t="str">
        <f>'سجل النقل'!F9</f>
        <v>ا ر ع  2234</v>
      </c>
      <c r="C96" s="34" t="s">
        <v>382</v>
      </c>
      <c r="D96" s="1">
        <f>'سجل النقل'!R9</f>
        <v>46515</v>
      </c>
      <c r="E96">
        <f ca="1">'سجل النقل'!S9</f>
        <v>254</v>
      </c>
      <c r="F96">
        <f t="shared" ca="1" si="2"/>
        <v>254.00095999999999</v>
      </c>
    </row>
    <row r="97" spans="1:6">
      <c r="A97" t="str">
        <f>'سجل النقل'!C10</f>
        <v>محمد مصلح حمادي محسن</v>
      </c>
      <c r="B97" t="str">
        <f>'سجل النقل'!F10</f>
        <v>ا ر و 4140</v>
      </c>
      <c r="C97" s="34" t="s">
        <v>382</v>
      </c>
      <c r="D97" s="1">
        <f>'سجل النقل'!R10</f>
        <v>46515</v>
      </c>
      <c r="E97">
        <f ca="1">'سجل النقل'!S10</f>
        <v>254</v>
      </c>
      <c r="F97">
        <f t="shared" ca="1" si="2"/>
        <v>254.00097</v>
      </c>
    </row>
    <row r="98" spans="1:6">
      <c r="A98" t="str">
        <f>'سجل النقل'!C11</f>
        <v>مارييل فينود</v>
      </c>
      <c r="B98" t="str">
        <f>'سجل النقل'!F11</f>
        <v>ا س  8015</v>
      </c>
      <c r="C98" s="34" t="s">
        <v>382</v>
      </c>
      <c r="D98" s="1">
        <f>'سجل النقل'!R11</f>
        <v>46485</v>
      </c>
      <c r="E98">
        <f ca="1">'سجل النقل'!S11</f>
        <v>224</v>
      </c>
      <c r="F98">
        <f t="shared" ref="F98:F129" ca="1" si="3">IF(ISNUMBER(E98),E98+ROW()/100000,"")</f>
        <v>224.00098</v>
      </c>
    </row>
    <row r="99" spans="1:6">
      <c r="A99" t="str">
        <f>'سجل النقل'!C12</f>
        <v>محمد يونس</v>
      </c>
      <c r="B99" t="str">
        <f>'سجل النقل'!F12</f>
        <v>ا س ق 7776</v>
      </c>
      <c r="C99" s="34" t="s">
        <v>382</v>
      </c>
      <c r="D99" s="1">
        <f>'سجل النقل'!R12</f>
        <v>46515</v>
      </c>
      <c r="E99">
        <f ca="1">'سجل النقل'!S12</f>
        <v>254</v>
      </c>
      <c r="F99">
        <f t="shared" ca="1" si="3"/>
        <v>254.00099</v>
      </c>
    </row>
    <row r="100" spans="1:6">
      <c r="A100" t="str">
        <f>'سجل النقل'!C13</f>
        <v>ابراهيم محمد ابوزيد محمد</v>
      </c>
      <c r="B100" t="str">
        <f>'سجل النقل'!F13</f>
        <v>ا ر ع 2232</v>
      </c>
      <c r="C100" s="34" t="s">
        <v>382</v>
      </c>
      <c r="D100" s="1">
        <f>'سجل النقل'!R13</f>
        <v>46515</v>
      </c>
      <c r="E100">
        <f ca="1">'سجل النقل'!S13</f>
        <v>254</v>
      </c>
      <c r="F100">
        <f t="shared" ca="1" si="3"/>
        <v>254.001</v>
      </c>
    </row>
    <row r="101" spans="1:6">
      <c r="A101" t="str">
        <f>'سجل النقل'!C14</f>
        <v>انفير كاريماري عمير</v>
      </c>
      <c r="B101" t="str">
        <f>'سجل النقل'!F14</f>
        <v>أ س ر 8873</v>
      </c>
      <c r="C101" s="34" t="s">
        <v>382</v>
      </c>
      <c r="D101" s="1">
        <f>'سجل النقل'!R14</f>
        <v>46515</v>
      </c>
      <c r="E101">
        <f ca="1">'سجل النقل'!S14</f>
        <v>254</v>
      </c>
      <c r="F101">
        <f t="shared" ca="1" si="3"/>
        <v>254.00101000000001</v>
      </c>
    </row>
    <row r="102" spans="1:6">
      <c r="A102" t="str">
        <f>'سجل النقل'!C15</f>
        <v>ارجوان</v>
      </c>
      <c r="B102" t="str">
        <f>'سجل النقل'!F15</f>
        <v>ا س م 8033</v>
      </c>
      <c r="C102" s="34" t="s">
        <v>382</v>
      </c>
      <c r="D102" s="1">
        <f>'سجل النقل'!R15</f>
        <v>46485</v>
      </c>
      <c r="E102">
        <f ca="1">'سجل النقل'!S15</f>
        <v>224</v>
      </c>
      <c r="F102">
        <f t="shared" ca="1" si="3"/>
        <v>224.00102000000001</v>
      </c>
    </row>
    <row r="103" spans="1:6">
      <c r="A103" t="str">
        <f>'سجل النقل'!C16</f>
        <v>اجيت راجا</v>
      </c>
      <c r="B103" t="str">
        <f>'سجل النقل'!F16</f>
        <v>ا ر و 4084</v>
      </c>
      <c r="C103" s="34" t="s">
        <v>382</v>
      </c>
      <c r="D103" s="1">
        <f>'سجل النقل'!R16</f>
        <v>46379</v>
      </c>
      <c r="E103">
        <f ca="1">'سجل النقل'!S16</f>
        <v>118</v>
      </c>
      <c r="F103">
        <f t="shared" ca="1" si="3"/>
        <v>118.00103</v>
      </c>
    </row>
    <row r="104" spans="1:6">
      <c r="A104" t="str">
        <f>'سجل النقل'!C17</f>
        <v>سليم اختر محمد</v>
      </c>
      <c r="B104" t="str">
        <f>'سجل النقل'!F17</f>
        <v>ا س ح 8670</v>
      </c>
      <c r="C104" s="34" t="s">
        <v>382</v>
      </c>
      <c r="D104" s="1">
        <f>'سجل النقل'!R17</f>
        <v>46515</v>
      </c>
      <c r="E104">
        <f ca="1">'سجل النقل'!S17</f>
        <v>254</v>
      </c>
      <c r="F104">
        <f t="shared" ca="1" si="3"/>
        <v>254.00103999999999</v>
      </c>
    </row>
    <row r="105" spans="1:6">
      <c r="A105" t="str">
        <f>'سجل النقل'!C18</f>
        <v>احمد رشوان</v>
      </c>
      <c r="B105" t="str">
        <f>'سجل النقل'!F18</f>
        <v>ا ص ق 6853</v>
      </c>
      <c r="C105" s="34" t="s">
        <v>382</v>
      </c>
      <c r="D105" s="1">
        <f>'سجل النقل'!R18</f>
        <v>46505</v>
      </c>
      <c r="E105">
        <f ca="1">'سجل النقل'!S18</f>
        <v>244</v>
      </c>
      <c r="F105">
        <f t="shared" ca="1" si="3"/>
        <v>244.00104999999999</v>
      </c>
    </row>
    <row r="106" spans="1:6">
      <c r="A106" t="str">
        <f>'سجل النقل'!C19</f>
        <v>اسف باث شوهل</v>
      </c>
      <c r="B106" t="str">
        <f>'سجل النقل'!F19</f>
        <v>ا س ح  8717</v>
      </c>
      <c r="C106" s="34" t="s">
        <v>382</v>
      </c>
      <c r="D106" s="1">
        <f>'سجل النقل'!R19</f>
        <v>46515</v>
      </c>
      <c r="E106">
        <f ca="1">'سجل النقل'!S19</f>
        <v>254</v>
      </c>
      <c r="F106">
        <f t="shared" ca="1" si="3"/>
        <v>254.00106</v>
      </c>
    </row>
    <row r="107" spans="1:6">
      <c r="A107" t="str">
        <f>'سجل النقل'!C20</f>
        <v>فالق سجاد سجاد</v>
      </c>
      <c r="B107" t="str">
        <f>'سجل النقل'!F20</f>
        <v>ا س م 8029</v>
      </c>
      <c r="C107" s="34" t="s">
        <v>382</v>
      </c>
      <c r="D107" s="1">
        <f>'سجل النقل'!R20</f>
        <v>46479</v>
      </c>
      <c r="E107">
        <f ca="1">'سجل النقل'!S20</f>
        <v>218</v>
      </c>
      <c r="F107">
        <f t="shared" ca="1" si="3"/>
        <v>218.00107</v>
      </c>
    </row>
    <row r="108" spans="1:6">
      <c r="A108" t="str">
        <f>'سجل النقل'!C21</f>
        <v>موزيد خان</v>
      </c>
      <c r="B108" t="str">
        <f>'سجل النقل'!F21</f>
        <v>ا س ل 8850</v>
      </c>
      <c r="C108" s="34" t="s">
        <v>382</v>
      </c>
      <c r="D108" s="1">
        <f>'سجل النقل'!R21</f>
        <v>46515</v>
      </c>
      <c r="E108">
        <f ca="1">'سجل النقل'!S21</f>
        <v>254</v>
      </c>
      <c r="F108">
        <f t="shared" ca="1" si="3"/>
        <v>254.00108</v>
      </c>
    </row>
    <row r="109" spans="1:6">
      <c r="A109" t="str">
        <f>'سجل النقل'!C22</f>
        <v>بسام علي احمد الجلال</v>
      </c>
      <c r="B109" t="str">
        <f>'سجل النقل'!F22</f>
        <v>ا س م 8023</v>
      </c>
      <c r="C109" s="34" t="s">
        <v>382</v>
      </c>
      <c r="D109" s="1">
        <f>'سجل النقل'!R22</f>
        <v>46484</v>
      </c>
      <c r="E109">
        <f ca="1">'سجل النقل'!S22</f>
        <v>223</v>
      </c>
      <c r="F109">
        <f t="shared" ca="1" si="3"/>
        <v>223.00109</v>
      </c>
    </row>
    <row r="110" spans="1:6">
      <c r="A110" t="str">
        <f>'سجل النقل'!C23</f>
        <v>كرم ابو الهدى صادق</v>
      </c>
      <c r="B110" t="str">
        <f>'سجل النقل'!F23</f>
        <v>ا ر و  4071</v>
      </c>
      <c r="C110" s="34" t="s">
        <v>382</v>
      </c>
      <c r="D110" s="1">
        <f>'سجل النقل'!R23</f>
        <v>46379</v>
      </c>
      <c r="E110">
        <f ca="1">'سجل النقل'!S23</f>
        <v>118</v>
      </c>
      <c r="F110">
        <f t="shared" ca="1" si="3"/>
        <v>118.00109999999999</v>
      </c>
    </row>
    <row r="111" spans="1:6">
      <c r="A111" t="str">
        <f>'سجل النقل'!C24</f>
        <v>مران حسين مد تارو</v>
      </c>
      <c r="B111" t="str">
        <f>'سجل النقل'!F24</f>
        <v>ا س م 8031</v>
      </c>
      <c r="C111" s="34" t="s">
        <v>382</v>
      </c>
      <c r="D111" s="1">
        <f>'سجل النقل'!R24</f>
        <v>46485</v>
      </c>
      <c r="E111">
        <f ca="1">'سجل النقل'!S24</f>
        <v>224</v>
      </c>
      <c r="F111">
        <f t="shared" ca="1" si="3"/>
        <v>224.00111000000001</v>
      </c>
    </row>
    <row r="112" spans="1:6">
      <c r="A112" t="str">
        <f>'سجل النقل'!C25</f>
        <v>محمد عبدالحميد محمد</v>
      </c>
      <c r="B112" t="str">
        <f>'سجل النقل'!F25</f>
        <v>ا س م  8035</v>
      </c>
      <c r="C112" s="34" t="s">
        <v>382</v>
      </c>
      <c r="D112" s="1">
        <f>'سجل النقل'!R25</f>
        <v>46505</v>
      </c>
      <c r="E112">
        <f ca="1">'سجل النقل'!S25</f>
        <v>244</v>
      </c>
      <c r="F112">
        <f t="shared" ca="1" si="3"/>
        <v>244.00111999999999</v>
      </c>
    </row>
    <row r="113" spans="1:6">
      <c r="A113" t="str">
        <f>'سجل النقل'!C26</f>
        <v>احمد عبدالصبور رشوان</v>
      </c>
      <c r="B113" t="str">
        <f>'سجل النقل'!F26</f>
        <v>ا س م  8021</v>
      </c>
      <c r="C113" s="34" t="s">
        <v>382</v>
      </c>
      <c r="D113" s="1">
        <f>'سجل النقل'!R26</f>
        <v>46505</v>
      </c>
      <c r="E113">
        <f ca="1">'سجل النقل'!S26</f>
        <v>244</v>
      </c>
      <c r="F113">
        <f t="shared" ca="1" si="3"/>
        <v>244.00112999999999</v>
      </c>
    </row>
    <row r="114" spans="1:6">
      <c r="A114" t="str">
        <f>'سجل النقل'!C27</f>
        <v>انصار الم</v>
      </c>
      <c r="B114" t="str">
        <f>'سجل النقل'!F27</f>
        <v>ا ر و  4139</v>
      </c>
      <c r="C114" s="34" t="s">
        <v>382</v>
      </c>
      <c r="D114" s="1">
        <f>'سجل النقل'!R27</f>
        <v>46515</v>
      </c>
      <c r="E114">
        <f ca="1">'سجل النقل'!S27</f>
        <v>254</v>
      </c>
      <c r="F114">
        <f t="shared" ca="1" si="3"/>
        <v>254.00113999999999</v>
      </c>
    </row>
    <row r="115" spans="1:6">
      <c r="A115" t="str">
        <f>'سجل النقل'!C28</f>
        <v>شندان دبينات</v>
      </c>
      <c r="B115" t="str">
        <f>'سجل النقل'!F28</f>
        <v>ا ر و 4141</v>
      </c>
      <c r="C115" s="34" t="s">
        <v>382</v>
      </c>
      <c r="D115" s="1">
        <f>'سجل النقل'!R28</f>
        <v>46515</v>
      </c>
      <c r="E115">
        <f ca="1">'سجل النقل'!S28</f>
        <v>254</v>
      </c>
      <c r="F115">
        <f t="shared" ca="1" si="3"/>
        <v>254.00115</v>
      </c>
    </row>
    <row r="116" spans="1:6">
      <c r="A116" t="str">
        <f>'سجل النقل'!C29</f>
        <v>علي محمد ابوزيد محمد</v>
      </c>
      <c r="B116" t="str">
        <f>'سجل النقل'!F29</f>
        <v>ا ر ع 2240</v>
      </c>
      <c r="C116" s="34" t="s">
        <v>382</v>
      </c>
      <c r="D116" s="1">
        <f>'سجل النقل'!R29</f>
        <v>46515</v>
      </c>
      <c r="E116">
        <f ca="1">'سجل النقل'!S29</f>
        <v>254</v>
      </c>
      <c r="F116">
        <f t="shared" ca="1" si="3"/>
        <v>254.00116</v>
      </c>
    </row>
    <row r="117" spans="1:6">
      <c r="A117" t="str">
        <f>'سجل النقل'!C30</f>
        <v>شوكت علي</v>
      </c>
      <c r="B117" t="str">
        <f>'سجل النقل'!F30</f>
        <v>ا س ق 7920</v>
      </c>
      <c r="C117" s="34" t="s">
        <v>382</v>
      </c>
      <c r="D117" s="1">
        <f>'سجل النقل'!R30</f>
        <v>46515</v>
      </c>
      <c r="E117">
        <f ca="1">'سجل النقل'!S30</f>
        <v>254</v>
      </c>
      <c r="F117">
        <f t="shared" ca="1" si="3"/>
        <v>254.00117</v>
      </c>
    </row>
    <row r="118" spans="1:6">
      <c r="A118" t="str">
        <f>""</f>
        <v/>
      </c>
      <c r="B118" t="str">
        <f>""</f>
        <v/>
      </c>
      <c r="C118" s="34" t="s">
        <v>382</v>
      </c>
      <c r="D118" s="1" t="str">
        <f>""</f>
        <v/>
      </c>
      <c r="E118" t="str">
        <f>""</f>
        <v/>
      </c>
      <c r="F118" t="str">
        <f t="shared" si="3"/>
        <v/>
      </c>
    </row>
    <row r="119" spans="1:6">
      <c r="A119" t="str">
        <f>'سجل النقل'!C31</f>
        <v>انال كومار</v>
      </c>
      <c r="B119" t="str">
        <f>'سجل النقل'!F31</f>
        <v>ا س ح 8715</v>
      </c>
      <c r="C119" s="34" t="s">
        <v>382</v>
      </c>
      <c r="D119" s="1">
        <f>'سجل النقل'!R31</f>
        <v>46515</v>
      </c>
      <c r="E119">
        <f ca="1">'سجل النقل'!S31</f>
        <v>254</v>
      </c>
      <c r="F119">
        <f t="shared" ca="1" si="3"/>
        <v>254.00119000000001</v>
      </c>
    </row>
    <row r="120" spans="1:6">
      <c r="A120" t="str">
        <f>'سجل النقل'!C32</f>
        <v>احمد دنقل</v>
      </c>
      <c r="B120" t="str">
        <f>'سجل النقل'!F32</f>
        <v>ا ص ا 7810</v>
      </c>
      <c r="C120" s="34" t="s">
        <v>382</v>
      </c>
      <c r="D120" s="1">
        <f>'سجل النقل'!R32</f>
        <v>46316</v>
      </c>
      <c r="E120">
        <f ca="1">'سجل النقل'!S32</f>
        <v>55</v>
      </c>
      <c r="F120">
        <f t="shared" ca="1" si="3"/>
        <v>55.001199999999997</v>
      </c>
    </row>
    <row r="121" spans="1:6">
      <c r="A121" t="str">
        <f>'سجل النقل'!C33</f>
        <v>محمد عبدالرحمن السيد المندوه</v>
      </c>
      <c r="B121" t="str">
        <f>'سجل النقل'!F33</f>
        <v>أ ص ق 6855</v>
      </c>
      <c r="C121" s="34" t="s">
        <v>382</v>
      </c>
      <c r="D121" s="1">
        <f>'سجل النقل'!R33</f>
        <v>46515</v>
      </c>
      <c r="E121">
        <f ca="1">'سجل النقل'!S33</f>
        <v>254</v>
      </c>
      <c r="F121">
        <f t="shared" ca="1" si="3"/>
        <v>254.00120999999999</v>
      </c>
    </row>
    <row r="122" spans="1:6">
      <c r="A122" t="str">
        <f>'سجل الخاص'!C5</f>
        <v>جيفري كريس</v>
      </c>
      <c r="B122" t="str">
        <f>'سجل الخاص'!F5</f>
        <v>أ و ب 2759</v>
      </c>
      <c r="C122" t="s">
        <v>379</v>
      </c>
      <c r="D122">
        <f>'سجل الخاص'!K5</f>
        <v>46368</v>
      </c>
      <c r="E122">
        <f ca="1">'سجل الخاص'!L5</f>
        <v>107</v>
      </c>
      <c r="F122">
        <f t="shared" ca="1" si="3"/>
        <v>107.00122</v>
      </c>
    </row>
    <row r="123" spans="1:6">
      <c r="A123" t="str">
        <f>'سجل الخاص'!C6</f>
        <v>محمد باشا</v>
      </c>
      <c r="B123" t="str">
        <f>'سجل الخاص'!F6</f>
        <v>ب د ل 7208</v>
      </c>
      <c r="C123" t="s">
        <v>379</v>
      </c>
      <c r="D123">
        <f>'سجل الخاص'!K6</f>
        <v>46569</v>
      </c>
      <c r="E123">
        <f ca="1">'سجل الخاص'!L6</f>
        <v>308</v>
      </c>
      <c r="F123">
        <f t="shared" ca="1" si="3"/>
        <v>308.00123000000002</v>
      </c>
    </row>
    <row r="124" spans="1:6">
      <c r="A124" t="str">
        <f>'سجل الخاص'!C7</f>
        <v>احمد رضا فتوح العليمى</v>
      </c>
      <c r="B124" t="str">
        <f>'سجل الخاص'!F7</f>
        <v>ب ب ق 4866</v>
      </c>
      <c r="C124" t="s">
        <v>379</v>
      </c>
      <c r="D124">
        <f>'سجل الخاص'!K7</f>
        <v>46527</v>
      </c>
      <c r="E124">
        <f ca="1">'سجل الخاص'!L7</f>
        <v>266</v>
      </c>
      <c r="F124">
        <f t="shared" ca="1" si="3"/>
        <v>266.00124</v>
      </c>
    </row>
    <row r="125" spans="1:6">
      <c r="A125" t="str">
        <f>'سجل الخاص'!C8</f>
        <v>النور علي</v>
      </c>
      <c r="B125" t="str">
        <f>'سجل الخاص'!F8</f>
        <v>أ و ب 2760</v>
      </c>
      <c r="C125" t="s">
        <v>379</v>
      </c>
      <c r="D125">
        <f>'سجل الخاص'!K8</f>
        <v>46358</v>
      </c>
      <c r="E125">
        <f ca="1">'سجل الخاص'!L8</f>
        <v>97</v>
      </c>
      <c r="F125">
        <f t="shared" ca="1" si="3"/>
        <v>97.001249999999999</v>
      </c>
    </row>
    <row r="126" spans="1:6">
      <c r="A126" t="str">
        <f>'سجل الخاص'!C9</f>
        <v>مانودينغ ديلوسان راسيد</v>
      </c>
      <c r="B126" t="str">
        <f>'سجل الخاص'!F9</f>
        <v>ب ب ق 4868</v>
      </c>
      <c r="C126" t="s">
        <v>379</v>
      </c>
      <c r="D126">
        <f>'سجل الخاص'!K9</f>
        <v>46354</v>
      </c>
      <c r="E126">
        <f ca="1">'سجل الخاص'!L9</f>
        <v>93</v>
      </c>
      <c r="F126">
        <f t="shared" ca="1" si="3"/>
        <v>93.001260000000002</v>
      </c>
    </row>
    <row r="127" spans="1:6">
      <c r="A127" t="str">
        <f>'سجل الخاص'!C10</f>
        <v>جمال الدين محمد يوسف</v>
      </c>
      <c r="B127" t="str">
        <f>'سجل الخاص'!F10</f>
        <v>أ ر ه 3213</v>
      </c>
      <c r="C127" t="s">
        <v>379</v>
      </c>
      <c r="D127">
        <f>'سجل الخاص'!K10</f>
        <v>46545</v>
      </c>
      <c r="E127">
        <f ca="1">'سجل الخاص'!L10</f>
        <v>284</v>
      </c>
      <c r="F127">
        <f t="shared" ca="1" si="3"/>
        <v>284.00126999999998</v>
      </c>
    </row>
    <row r="128" spans="1:6">
      <c r="A128" t="str">
        <f>'سجل الخاص'!C11</f>
        <v>امين عبدالله احمد العاقل</v>
      </c>
      <c r="B128" t="str">
        <f>'سجل الخاص'!F11</f>
        <v>ب ط س 3417</v>
      </c>
      <c r="C128" t="s">
        <v>379</v>
      </c>
      <c r="D128">
        <f>'سجل الخاص'!K11</f>
        <v>46314</v>
      </c>
      <c r="E128">
        <f ca="1">'سجل الخاص'!L11</f>
        <v>53</v>
      </c>
      <c r="F128">
        <f t="shared" ca="1" si="3"/>
        <v>53.001280000000001</v>
      </c>
    </row>
    <row r="129" spans="1:6">
      <c r="A129" t="str">
        <f>'سجل الخاص'!C12</f>
        <v>النور امفوان ساري</v>
      </c>
      <c r="B129" t="str">
        <f>'سجل الخاص'!F12</f>
        <v>ب ر ل 3099</v>
      </c>
      <c r="C129" t="s">
        <v>379</v>
      </c>
      <c r="D129">
        <f>'سجل الخاص'!K12</f>
        <v>46577</v>
      </c>
      <c r="E129">
        <f ca="1">'سجل الخاص'!L12</f>
        <v>316</v>
      </c>
      <c r="F129">
        <f t="shared" ca="1" si="3"/>
        <v>316.00128999999998</v>
      </c>
    </row>
    <row r="130" spans="1:6">
      <c r="A130" t="str">
        <f>'سجل الخاص'!C13</f>
        <v>FAHAD BENASING LOMINOG</v>
      </c>
      <c r="B130" t="str">
        <f>'سجل الخاص'!F13</f>
        <v>ب ر ل 3098</v>
      </c>
      <c r="C130" t="s">
        <v>379</v>
      </c>
      <c r="D130">
        <f>'سجل الخاص'!K13</f>
        <v>46533</v>
      </c>
      <c r="E130">
        <f ca="1">'سجل الخاص'!L13</f>
        <v>272</v>
      </c>
      <c r="F130">
        <f t="shared" ref="F130:F161" ca="1" si="4">IF(ISNUMBER(E130),E130+ROW()/100000,"")</f>
        <v>272.00130000000001</v>
      </c>
    </row>
    <row r="131" spans="1:6">
      <c r="A131" t="str">
        <f>'سجل الخاص'!C14</f>
        <v>حسام الدين ابوالمجد</v>
      </c>
      <c r="B131" t="str">
        <f>'سجل الخاص'!F14</f>
        <v>ب ص ط 9959</v>
      </c>
      <c r="C131" t="s">
        <v>379</v>
      </c>
      <c r="D131">
        <f>'سجل الخاص'!K14</f>
        <v>46177</v>
      </c>
      <c r="E131">
        <f ca="1">'سجل الخاص'!L14</f>
        <v>-84</v>
      </c>
      <c r="F131">
        <f t="shared" ca="1" si="4"/>
        <v>-83.998689999999996</v>
      </c>
    </row>
    <row r="132" spans="1:6">
      <c r="A132" t="str">
        <f>'سجل الخاص'!C15</f>
        <v xml:space="preserve">احمد رشاد </v>
      </c>
      <c r="B132" t="str">
        <f>'سجل الخاص'!F15</f>
        <v>ح ع ن 2874</v>
      </c>
      <c r="C132" t="s">
        <v>379</v>
      </c>
      <c r="D132">
        <f>'سجل الخاص'!K15</f>
        <v>46346</v>
      </c>
      <c r="E132">
        <f ca="1">'سجل الخاص'!L15</f>
        <v>85</v>
      </c>
      <c r="F132">
        <f t="shared" ca="1" si="4"/>
        <v>85.001320000000007</v>
      </c>
    </row>
    <row r="133" spans="1:6">
      <c r="A133" t="str">
        <f>'سجل الخاص'!C16</f>
        <v>كرم جلال الدين</v>
      </c>
      <c r="B133" t="str">
        <f>'سجل الخاص'!F16</f>
        <v>ر د ب 4650</v>
      </c>
      <c r="C133" t="s">
        <v>379</v>
      </c>
      <c r="D133">
        <f>'سجل الخاص'!K16</f>
        <v>46416</v>
      </c>
      <c r="E133">
        <f ca="1">'سجل الخاص'!L16</f>
        <v>155</v>
      </c>
      <c r="F133">
        <f t="shared" ca="1" si="4"/>
        <v>155.00133</v>
      </c>
    </row>
    <row r="134" spans="1:6">
      <c r="A134" t="str">
        <f>'سجل الخاص'!C17</f>
        <v>حسين مياه</v>
      </c>
      <c r="B134" t="str">
        <f>'سجل الخاص'!F17</f>
        <v>ب ط س 3261</v>
      </c>
      <c r="C134" t="s">
        <v>379</v>
      </c>
      <c r="D134">
        <f>'سجل الخاص'!K17</f>
        <v>46394</v>
      </c>
      <c r="E134">
        <f ca="1">'سجل الخاص'!L17</f>
        <v>133</v>
      </c>
      <c r="F134">
        <f t="shared" ca="1" si="4"/>
        <v>133.00134</v>
      </c>
    </row>
    <row r="135" spans="1:6">
      <c r="A135" t="str">
        <f>'سجل الخاص'!C18</f>
        <v>عبد الحكيم جمال عبد الحكيم احمد</v>
      </c>
      <c r="B135" t="str">
        <f>'سجل الخاص'!F18</f>
        <v>ب ط س 3262</v>
      </c>
      <c r="C135" t="s">
        <v>379</v>
      </c>
      <c r="D135">
        <f>'سجل الخاص'!K18</f>
        <v>46613</v>
      </c>
      <c r="E135">
        <f ca="1">'سجل الخاص'!L18</f>
        <v>352</v>
      </c>
      <c r="F135">
        <f t="shared" ca="1" si="4"/>
        <v>352.00135</v>
      </c>
    </row>
    <row r="136" spans="1:6">
      <c r="A136" t="str">
        <f>'سجل الخاص'!C19</f>
        <v>حمداني كومفا ليميغاس</v>
      </c>
      <c r="B136" t="str">
        <f>'سجل الخاص'!F19</f>
        <v>ب ط س 3258</v>
      </c>
      <c r="C136" t="s">
        <v>379</v>
      </c>
      <c r="D136">
        <f>'سجل الخاص'!K19</f>
        <v>46306</v>
      </c>
      <c r="E136">
        <f ca="1">'سجل الخاص'!L19</f>
        <v>45</v>
      </c>
      <c r="F136">
        <f t="shared" ca="1" si="4"/>
        <v>45.001359999999998</v>
      </c>
    </row>
    <row r="137" spans="1:6">
      <c r="A137" t="str">
        <f>'سجل الخاص'!C20</f>
        <v>عمر سمان ناتانكوف</v>
      </c>
      <c r="B137" t="str">
        <f>'سجل الخاص'!F20</f>
        <v>ب ط س 3259</v>
      </c>
      <c r="C137" t="s">
        <v>379</v>
      </c>
      <c r="D137">
        <f>'سجل الخاص'!K20</f>
        <v>46351</v>
      </c>
      <c r="E137">
        <f ca="1">'سجل الخاص'!L20</f>
        <v>90</v>
      </c>
      <c r="F137">
        <f t="shared" ca="1" si="4"/>
        <v>90.001369999999994</v>
      </c>
    </row>
    <row r="138" spans="1:6">
      <c r="A138" t="str">
        <f>'سجل الخاص'!C21</f>
        <v>مأمون مياه</v>
      </c>
      <c r="B138" t="str">
        <f>'سجل الخاص'!F21</f>
        <v>ب ط س3263</v>
      </c>
      <c r="C138" t="s">
        <v>379</v>
      </c>
      <c r="D138">
        <f>'سجل الخاص'!K21</f>
        <v>46350</v>
      </c>
      <c r="E138">
        <f ca="1">'سجل الخاص'!L21</f>
        <v>89</v>
      </c>
      <c r="F138">
        <f t="shared" ca="1" si="4"/>
        <v>89.001379999999997</v>
      </c>
    </row>
    <row r="139" spans="1:6">
      <c r="A139" t="str">
        <f>'سجل الخاص'!C22</f>
        <v>SHAH ZEB</v>
      </c>
      <c r="B139" t="str">
        <f>'سجل الخاص'!F22</f>
        <v>ب ح ل 4436</v>
      </c>
      <c r="C139" t="s">
        <v>379</v>
      </c>
      <c r="D139">
        <f>'سجل الخاص'!K22</f>
        <v>46546</v>
      </c>
      <c r="E139">
        <f ca="1">'سجل الخاص'!L22</f>
        <v>285</v>
      </c>
      <c r="F139">
        <f t="shared" ca="1" si="4"/>
        <v>285.00139000000001</v>
      </c>
    </row>
    <row r="140" spans="1:6">
      <c r="A140" t="str">
        <f>'سجل الخاص'!C23</f>
        <v>ابراهيم يوسف عوض علي</v>
      </c>
      <c r="B140" t="str">
        <f>'سجل الخاص'!F23</f>
        <v>ح ي و 5746</v>
      </c>
      <c r="C140" t="s">
        <v>379</v>
      </c>
      <c r="D140">
        <f>'سجل الخاص'!K23</f>
        <v>46318</v>
      </c>
      <c r="E140">
        <f ca="1">'سجل الخاص'!L23</f>
        <v>57</v>
      </c>
      <c r="F140">
        <f t="shared" ca="1" si="4"/>
        <v>57.001399999999997</v>
      </c>
    </row>
    <row r="141" spans="1:6">
      <c r="A141" t="str">
        <f>'سجل الخاص'!C24</f>
        <v>أشرف كمال</v>
      </c>
      <c r="B141" t="str">
        <f>'سجل الخاص'!F24</f>
        <v>ر و د 1693</v>
      </c>
      <c r="C141" t="s">
        <v>379</v>
      </c>
      <c r="D141" t="str">
        <f>'سجل الخاص'!K24</f>
        <v>-</v>
      </c>
      <c r="E141" t="str">
        <f ca="1">'سجل الخاص'!L24</f>
        <v>-</v>
      </c>
      <c r="F141" t="str">
        <f t="shared" ca="1" si="4"/>
        <v/>
      </c>
    </row>
    <row r="142" spans="1:6">
      <c r="A142" t="str">
        <f>'سجل الخاص'!C25</f>
        <v>كريم عبد المنعم</v>
      </c>
      <c r="B142" t="str">
        <f>'سجل الخاص'!F25</f>
        <v>أ ص ه 6135</v>
      </c>
      <c r="C142" t="s">
        <v>379</v>
      </c>
      <c r="D142">
        <f>'سجل الخاص'!K25</f>
        <v>46615</v>
      </c>
      <c r="E142">
        <f ca="1">'سجل الخاص'!L25</f>
        <v>354</v>
      </c>
      <c r="F142">
        <f t="shared" ca="1" si="4"/>
        <v>354.00142</v>
      </c>
    </row>
    <row r="143" spans="1:6">
      <c r="A143" t="str">
        <f>'سجل الخاص'!C26</f>
        <v>عبدالرحمن البنداري</v>
      </c>
      <c r="B143" t="str">
        <f>'سجل الخاص'!F26</f>
        <v>ر ل ر 5062</v>
      </c>
      <c r="C143" t="s">
        <v>379</v>
      </c>
      <c r="D143" t="str">
        <f>'سجل الخاص'!K26</f>
        <v>-</v>
      </c>
      <c r="E143" t="str">
        <f ca="1">'سجل الخاص'!L26</f>
        <v>-</v>
      </c>
      <c r="F143" t="str">
        <f t="shared" ca="1" si="4"/>
        <v/>
      </c>
    </row>
    <row r="144" spans="1:6">
      <c r="A144" t="str">
        <f>'سجل الخاص'!C27</f>
        <v>احمد محمد زكى شعلان</v>
      </c>
      <c r="B144" t="str">
        <f>'سجل الخاص'!F27</f>
        <v>ر ل ر 5063</v>
      </c>
      <c r="C144" t="s">
        <v>379</v>
      </c>
      <c r="D144" t="str">
        <f>'سجل الخاص'!K27</f>
        <v>-</v>
      </c>
      <c r="E144" t="str">
        <f ca="1">'سجل الخاص'!L27</f>
        <v>-</v>
      </c>
      <c r="F144" t="str">
        <f t="shared" ca="1" si="4"/>
        <v/>
      </c>
    </row>
    <row r="145" spans="1:6">
      <c r="A145" t="str">
        <f>'سجل الخاص'!C28</f>
        <v>أبو الحسن</v>
      </c>
      <c r="B145" t="str">
        <f>'سجل الخاص'!F28</f>
        <v>ر ل ر 5059</v>
      </c>
      <c r="C145" t="s">
        <v>379</v>
      </c>
      <c r="D145" t="str">
        <f>'سجل الخاص'!K28</f>
        <v>-</v>
      </c>
      <c r="E145" t="str">
        <f ca="1">'سجل الخاص'!L28</f>
        <v>-</v>
      </c>
      <c r="F145" t="str">
        <f t="shared" ca="1" si="4"/>
        <v/>
      </c>
    </row>
    <row r="146" spans="1:6">
      <c r="A146" t="str">
        <f>'سجل الخاص'!C29</f>
        <v>محمد تنوير</v>
      </c>
      <c r="B146" t="str">
        <f>'سجل الخاص'!F29</f>
        <v>ر ل ر 5094</v>
      </c>
      <c r="C146" t="s">
        <v>379</v>
      </c>
      <c r="D146" t="str">
        <f>'سجل الخاص'!K29</f>
        <v>-</v>
      </c>
      <c r="E146" t="str">
        <f ca="1">'سجل الخاص'!L29</f>
        <v>-</v>
      </c>
      <c r="F146" t="str">
        <f t="shared" ca="1" si="4"/>
        <v/>
      </c>
    </row>
    <row r="147" spans="1:6">
      <c r="A147" t="str">
        <f>'سجل الخاص'!C30</f>
        <v>محمد حسن عبدالرحمن السيد</v>
      </c>
      <c r="B147" t="str">
        <f>'سجل الخاص'!F30</f>
        <v>س د ي 2475</v>
      </c>
      <c r="C147" t="s">
        <v>379</v>
      </c>
      <c r="D147" t="str">
        <f>'سجل الخاص'!K30</f>
        <v>-</v>
      </c>
      <c r="E147" t="str">
        <f ca="1">'سجل الخاص'!L30</f>
        <v>-</v>
      </c>
      <c r="F147" t="str">
        <f t="shared" ca="1" si="4"/>
        <v/>
      </c>
    </row>
    <row r="148" spans="1:6">
      <c r="A148" t="str">
        <f>'سجل الخاص'!C31</f>
        <v>مهتاب الطاف الطاف احمد</v>
      </c>
      <c r="B148" t="str">
        <f>'سجل الخاص'!F31</f>
        <v>س د ي 2487</v>
      </c>
      <c r="C148" t="s">
        <v>379</v>
      </c>
      <c r="D148" t="str">
        <f>'سجل الخاص'!K31</f>
        <v>-</v>
      </c>
      <c r="E148" t="str">
        <f ca="1">'سجل الخاص'!L31</f>
        <v>-</v>
      </c>
      <c r="F148" t="str">
        <f t="shared" ca="1" si="4"/>
        <v/>
      </c>
    </row>
    <row r="149" spans="1:6">
      <c r="A149" t="str">
        <f>'سجل الخاص'!C5</f>
        <v>جيفري كريس</v>
      </c>
      <c r="B149" t="str">
        <f>'سجل الخاص'!F5</f>
        <v>أ و ب 2759</v>
      </c>
      <c r="C149" t="s">
        <v>380</v>
      </c>
      <c r="D149">
        <f>'سجل الخاص'!M5</f>
        <v>45970</v>
      </c>
      <c r="E149">
        <f ca="1">'سجل الخاص'!N5</f>
        <v>-291</v>
      </c>
      <c r="F149">
        <f t="shared" ca="1" si="4"/>
        <v>-290.99851000000001</v>
      </c>
    </row>
    <row r="150" spans="1:6">
      <c r="A150" t="str">
        <f>'سجل الخاص'!C6</f>
        <v>محمد باشا</v>
      </c>
      <c r="B150" t="str">
        <f>'سجل الخاص'!F6</f>
        <v>ب د ل 7208</v>
      </c>
      <c r="C150" t="s">
        <v>380</v>
      </c>
      <c r="D150">
        <f>'سجل الخاص'!M6</f>
        <v>46665</v>
      </c>
      <c r="E150">
        <f ca="1">'سجل الخاص'!N6</f>
        <v>404</v>
      </c>
      <c r="F150">
        <f t="shared" ca="1" si="4"/>
        <v>404.00150000000002</v>
      </c>
    </row>
    <row r="151" spans="1:6">
      <c r="A151" t="str">
        <f>'سجل الخاص'!C7</f>
        <v>احمد رضا فتوح العليمى</v>
      </c>
      <c r="B151" t="str">
        <f>'سجل الخاص'!F7</f>
        <v>ب ب ق 4866</v>
      </c>
      <c r="C151" t="s">
        <v>380</v>
      </c>
      <c r="D151">
        <f>'سجل الخاص'!M7</f>
        <v>46754</v>
      </c>
      <c r="E151">
        <f ca="1">'سجل الخاص'!N7</f>
        <v>493</v>
      </c>
      <c r="F151">
        <f t="shared" ca="1" si="4"/>
        <v>493.00151</v>
      </c>
    </row>
    <row r="152" spans="1:6">
      <c r="A152" t="str">
        <f>'سجل الخاص'!C8</f>
        <v>النور علي</v>
      </c>
      <c r="B152" t="str">
        <f>'سجل الخاص'!F8</f>
        <v>أ و ب 2760</v>
      </c>
      <c r="C152" t="s">
        <v>380</v>
      </c>
      <c r="D152">
        <f>'سجل الخاص'!M8</f>
        <v>47033</v>
      </c>
      <c r="E152">
        <f ca="1">'سجل الخاص'!N8</f>
        <v>772</v>
      </c>
      <c r="F152">
        <f t="shared" ca="1" si="4"/>
        <v>772.00152000000003</v>
      </c>
    </row>
    <row r="153" spans="1:6">
      <c r="A153" t="str">
        <f>'سجل الخاص'!C9</f>
        <v>مانودينغ ديلوسان راسيد</v>
      </c>
      <c r="B153" t="str">
        <f>'سجل الخاص'!F9</f>
        <v>ب ب ق 4868</v>
      </c>
      <c r="C153" t="s">
        <v>380</v>
      </c>
      <c r="D153">
        <f>'سجل الخاص'!M9</f>
        <v>46754</v>
      </c>
      <c r="E153">
        <f ca="1">'سجل الخاص'!N9</f>
        <v>493</v>
      </c>
      <c r="F153">
        <f t="shared" ca="1" si="4"/>
        <v>493.00153</v>
      </c>
    </row>
    <row r="154" spans="1:6">
      <c r="A154" t="str">
        <f>'سجل الخاص'!C10</f>
        <v>جمال الدين محمد يوسف</v>
      </c>
      <c r="B154" t="str">
        <f>'سجل الخاص'!F10</f>
        <v>أ ر ه 3213</v>
      </c>
      <c r="C154" t="s">
        <v>380</v>
      </c>
      <c r="D154">
        <f>'سجل الخاص'!M10</f>
        <v>46225</v>
      </c>
      <c r="E154">
        <f ca="1">'سجل الخاص'!N10</f>
        <v>-36</v>
      </c>
      <c r="F154">
        <f t="shared" ca="1" si="4"/>
        <v>-35.998460000000001</v>
      </c>
    </row>
    <row r="155" spans="1:6">
      <c r="A155" t="str">
        <f>'سجل الخاص'!C11</f>
        <v>امين عبدالله احمد العاقل</v>
      </c>
      <c r="B155" t="str">
        <f>'سجل الخاص'!F11</f>
        <v>ب ط س 3417</v>
      </c>
      <c r="C155" t="s">
        <v>380</v>
      </c>
      <c r="D155">
        <f>'سجل الخاص'!M11</f>
        <v>46280</v>
      </c>
      <c r="E155">
        <f ca="1">'سجل الخاص'!N11</f>
        <v>19</v>
      </c>
      <c r="F155">
        <f t="shared" ca="1" si="4"/>
        <v>19.001550000000002</v>
      </c>
    </row>
    <row r="156" spans="1:6">
      <c r="A156" t="str">
        <f>'سجل الخاص'!C12</f>
        <v>النور امفوان ساري</v>
      </c>
      <c r="B156" t="str">
        <f>'سجل الخاص'!F12</f>
        <v>ب ر ل 3099</v>
      </c>
      <c r="C156" t="s">
        <v>380</v>
      </c>
      <c r="D156">
        <f>'سجل الخاص'!M12</f>
        <v>47000</v>
      </c>
      <c r="E156">
        <f ca="1">'سجل الخاص'!N12</f>
        <v>739</v>
      </c>
      <c r="F156">
        <f t="shared" ca="1" si="4"/>
        <v>739.00156000000004</v>
      </c>
    </row>
    <row r="157" spans="1:6">
      <c r="A157" t="str">
        <f>'سجل الخاص'!C13</f>
        <v>FAHAD BENASING LOMINOG</v>
      </c>
      <c r="B157" t="str">
        <f>'سجل الخاص'!F13</f>
        <v>ب ر ل 3098</v>
      </c>
      <c r="C157" t="s">
        <v>380</v>
      </c>
      <c r="D157">
        <f>'سجل الخاص'!M13</f>
        <v>47000</v>
      </c>
      <c r="E157">
        <f ca="1">'سجل الخاص'!N13</f>
        <v>739</v>
      </c>
      <c r="F157">
        <f t="shared" ca="1" si="4"/>
        <v>739.00157000000002</v>
      </c>
    </row>
    <row r="158" spans="1:6">
      <c r="A158" t="str">
        <f>'سجل الخاص'!C14</f>
        <v>حسام الدين ابوالمجد</v>
      </c>
      <c r="B158" t="str">
        <f>'سجل الخاص'!F14</f>
        <v>ب ص ط 9959</v>
      </c>
      <c r="C158" t="s">
        <v>380</v>
      </c>
      <c r="D158">
        <f>'سجل الخاص'!M14</f>
        <v>46985</v>
      </c>
      <c r="E158">
        <f ca="1">'سجل الخاص'!N14</f>
        <v>724</v>
      </c>
      <c r="F158">
        <f t="shared" ca="1" si="4"/>
        <v>724.00157999999999</v>
      </c>
    </row>
    <row r="159" spans="1:6">
      <c r="A159" t="str">
        <f>'سجل الخاص'!C15</f>
        <v xml:space="preserve">احمد رشاد </v>
      </c>
      <c r="B159" t="str">
        <f>'سجل الخاص'!F15</f>
        <v>ح ع ن 2874</v>
      </c>
      <c r="C159" t="s">
        <v>380</v>
      </c>
      <c r="D159">
        <f>'سجل الخاص'!M15</f>
        <v>46286</v>
      </c>
      <c r="E159">
        <f ca="1">'سجل الخاص'!N15</f>
        <v>25</v>
      </c>
      <c r="F159">
        <f t="shared" ca="1" si="4"/>
        <v>25.00159</v>
      </c>
    </row>
    <row r="160" spans="1:6">
      <c r="A160" t="str">
        <f>'سجل الخاص'!C16</f>
        <v>كرم جلال الدين</v>
      </c>
      <c r="B160" t="str">
        <f>'سجل الخاص'!F16</f>
        <v>ر د ب 4650</v>
      </c>
      <c r="C160" t="s">
        <v>380</v>
      </c>
      <c r="D160">
        <f>'سجل الخاص'!M16</f>
        <v>46949</v>
      </c>
      <c r="E160">
        <f ca="1">'سجل الخاص'!N16</f>
        <v>688</v>
      </c>
      <c r="F160">
        <f t="shared" ca="1" si="4"/>
        <v>688.00160000000005</v>
      </c>
    </row>
    <row r="161" spans="1:6">
      <c r="A161" t="str">
        <f>'سجل الخاص'!C17</f>
        <v>حسين مياه</v>
      </c>
      <c r="B161" t="str">
        <f>'سجل الخاص'!F17</f>
        <v>ب ط س 3261</v>
      </c>
      <c r="C161" t="s">
        <v>380</v>
      </c>
      <c r="D161">
        <f>'سجل الخاص'!M17</f>
        <v>46232</v>
      </c>
      <c r="E161">
        <f ca="1">'سجل الخاص'!N17</f>
        <v>-29</v>
      </c>
      <c r="F161">
        <f t="shared" ca="1" si="4"/>
        <v>-28.998390000000001</v>
      </c>
    </row>
    <row r="162" spans="1:6">
      <c r="A162" t="str">
        <f>'سجل الخاص'!C18</f>
        <v>عبد الحكيم جمال عبد الحكيم احمد</v>
      </c>
      <c r="B162" t="str">
        <f>'سجل الخاص'!F18</f>
        <v>ب ط س 3262</v>
      </c>
      <c r="C162" t="s">
        <v>380</v>
      </c>
      <c r="D162">
        <f>'سجل الخاص'!M18</f>
        <v>47295</v>
      </c>
      <c r="E162">
        <f ca="1">'سجل الخاص'!N18</f>
        <v>1034</v>
      </c>
      <c r="F162">
        <f t="shared" ref="F162:F175" ca="1" si="5">IF(ISNUMBER(E162),E162+ROW()/100000,"")</f>
        <v>1034.00162</v>
      </c>
    </row>
    <row r="163" spans="1:6">
      <c r="A163" t="str">
        <f>'سجل الخاص'!C19</f>
        <v>حمداني كومفا ليميغاس</v>
      </c>
      <c r="B163" t="str">
        <f>'سجل الخاص'!F19</f>
        <v>ب ط س 3258</v>
      </c>
      <c r="C163" t="s">
        <v>380</v>
      </c>
      <c r="D163">
        <f>'سجل الخاص'!M19</f>
        <v>46232</v>
      </c>
      <c r="E163">
        <f ca="1">'سجل الخاص'!N19</f>
        <v>-29</v>
      </c>
      <c r="F163">
        <f t="shared" ca="1" si="5"/>
        <v>-28.998370000000001</v>
      </c>
    </row>
    <row r="164" spans="1:6">
      <c r="A164" t="str">
        <f>'سجل الخاص'!C20</f>
        <v>عمر سمان ناتانكوف</v>
      </c>
      <c r="B164" t="str">
        <f>'سجل الخاص'!F20</f>
        <v>ب ط س 3259</v>
      </c>
      <c r="C164" t="s">
        <v>380</v>
      </c>
      <c r="D164">
        <f>'سجل الخاص'!M20</f>
        <v>46232</v>
      </c>
      <c r="E164">
        <f ca="1">'سجل الخاص'!N20</f>
        <v>-29</v>
      </c>
      <c r="F164">
        <f t="shared" ca="1" si="5"/>
        <v>-28.998360000000002</v>
      </c>
    </row>
    <row r="165" spans="1:6">
      <c r="A165" t="str">
        <f>'سجل الخاص'!C21</f>
        <v>مأمون مياه</v>
      </c>
      <c r="B165" t="str">
        <f>'سجل الخاص'!F21</f>
        <v>ب ط س3263</v>
      </c>
      <c r="C165" t="s">
        <v>380</v>
      </c>
      <c r="D165">
        <f>'سجل الخاص'!M21</f>
        <v>46232</v>
      </c>
      <c r="E165">
        <f ca="1">'سجل الخاص'!N21</f>
        <v>-29</v>
      </c>
      <c r="F165">
        <f t="shared" ca="1" si="5"/>
        <v>-28.998349999999999</v>
      </c>
    </row>
    <row r="166" spans="1:6">
      <c r="A166" t="str">
        <f>'سجل الخاص'!C22</f>
        <v>SHAH ZEB</v>
      </c>
      <c r="B166" t="str">
        <f>'سجل الخاص'!F22</f>
        <v>ب ح ل 4436</v>
      </c>
      <c r="C166" t="s">
        <v>380</v>
      </c>
      <c r="D166">
        <f>'سجل الخاص'!M22</f>
        <v>47098</v>
      </c>
      <c r="E166">
        <f ca="1">'سجل الخاص'!N22</f>
        <v>837</v>
      </c>
      <c r="F166">
        <f t="shared" ca="1" si="5"/>
        <v>837.00166000000002</v>
      </c>
    </row>
    <row r="167" spans="1:6">
      <c r="A167" t="str">
        <f>'سجل الخاص'!C23</f>
        <v>ابراهيم يوسف عوض علي</v>
      </c>
      <c r="B167" t="str">
        <f>'سجل الخاص'!F23</f>
        <v>ح ي و 5746</v>
      </c>
      <c r="C167" t="s">
        <v>380</v>
      </c>
      <c r="D167">
        <f>'سجل الخاص'!M23</f>
        <v>46885</v>
      </c>
      <c r="E167">
        <f ca="1">'سجل الخاص'!N23</f>
        <v>624</v>
      </c>
      <c r="F167">
        <f t="shared" ca="1" si="5"/>
        <v>624.00166999999999</v>
      </c>
    </row>
    <row r="168" spans="1:6">
      <c r="A168" t="str">
        <f>'سجل الخاص'!C24</f>
        <v>أشرف كمال</v>
      </c>
      <c r="B168" t="str">
        <f>'سجل الخاص'!F24</f>
        <v>ر و د 1693</v>
      </c>
      <c r="C168" t="s">
        <v>380</v>
      </c>
      <c r="D168">
        <f>'سجل الخاص'!M24</f>
        <v>46889</v>
      </c>
      <c r="E168">
        <f ca="1">'سجل الخاص'!N24</f>
        <v>628</v>
      </c>
      <c r="F168">
        <f t="shared" ca="1" si="5"/>
        <v>628.00167999999996</v>
      </c>
    </row>
    <row r="169" spans="1:6">
      <c r="A169" t="str">
        <f>'سجل الخاص'!C25</f>
        <v>كريم عبد المنعم</v>
      </c>
      <c r="B169" t="str">
        <f>'سجل الخاص'!F25</f>
        <v>أ ص ه 6135</v>
      </c>
      <c r="C169" t="s">
        <v>380</v>
      </c>
      <c r="D169">
        <f>'سجل الخاص'!M25</f>
        <v>46503</v>
      </c>
      <c r="E169">
        <f ca="1">'سجل الخاص'!N25</f>
        <v>242</v>
      </c>
      <c r="F169">
        <f t="shared" ca="1" si="5"/>
        <v>242.00169</v>
      </c>
    </row>
    <row r="170" spans="1:6">
      <c r="A170" t="str">
        <f>'سجل الخاص'!C26</f>
        <v>عبدالرحمن البنداري</v>
      </c>
      <c r="B170" t="str">
        <f>'سجل الخاص'!F26</f>
        <v>ر ل ر 5062</v>
      </c>
      <c r="C170" t="s">
        <v>380</v>
      </c>
      <c r="D170">
        <f>'سجل الخاص'!M26</f>
        <v>46510</v>
      </c>
      <c r="E170">
        <f ca="1">'سجل الخاص'!N26</f>
        <v>249</v>
      </c>
      <c r="F170">
        <f t="shared" ca="1" si="5"/>
        <v>249.0017</v>
      </c>
    </row>
    <row r="171" spans="1:6">
      <c r="A171" t="str">
        <f>'سجل الخاص'!C27</f>
        <v>احمد محمد زكى شعلان</v>
      </c>
      <c r="B171" t="str">
        <f>'سجل الخاص'!F27</f>
        <v>ر ل ر 5063</v>
      </c>
      <c r="C171" t="s">
        <v>380</v>
      </c>
      <c r="D171">
        <f>'سجل الخاص'!M27</f>
        <v>46510</v>
      </c>
      <c r="E171">
        <f ca="1">'سجل الخاص'!N27</f>
        <v>249</v>
      </c>
      <c r="F171">
        <f t="shared" ca="1" si="5"/>
        <v>249.00171</v>
      </c>
    </row>
    <row r="172" spans="1:6">
      <c r="A172" t="str">
        <f>'سجل الخاص'!C28</f>
        <v>أبو الحسن</v>
      </c>
      <c r="B172" t="str">
        <f>'سجل الخاص'!F28</f>
        <v>ر ل ر 5059</v>
      </c>
      <c r="C172" t="s">
        <v>380</v>
      </c>
      <c r="D172">
        <f>'سجل الخاص'!M28</f>
        <v>46510</v>
      </c>
      <c r="E172">
        <f ca="1">'سجل الخاص'!N28</f>
        <v>249</v>
      </c>
      <c r="F172">
        <f t="shared" ca="1" si="5"/>
        <v>249.00172000000001</v>
      </c>
    </row>
    <row r="173" spans="1:6">
      <c r="A173" t="str">
        <f>'سجل الخاص'!C29</f>
        <v>محمد تنوير</v>
      </c>
      <c r="B173" t="str">
        <f>'سجل الخاص'!F29</f>
        <v>ر ل ر 5094</v>
      </c>
      <c r="C173" t="s">
        <v>380</v>
      </c>
      <c r="D173">
        <f>'سجل الخاص'!M29</f>
        <v>46510</v>
      </c>
      <c r="E173">
        <f ca="1">'سجل الخاص'!N29</f>
        <v>249</v>
      </c>
      <c r="F173">
        <f t="shared" ca="1" si="5"/>
        <v>249.00173000000001</v>
      </c>
    </row>
    <row r="174" spans="1:6">
      <c r="A174" t="str">
        <f>'سجل الخاص'!C30</f>
        <v>محمد حسن عبدالرحمن السيد</v>
      </c>
      <c r="B174" t="str">
        <f>'سجل الخاص'!F30</f>
        <v>س د ي 2475</v>
      </c>
      <c r="C174" t="s">
        <v>380</v>
      </c>
      <c r="D174">
        <f>'سجل الخاص'!M30</f>
        <v>47125</v>
      </c>
      <c r="E174">
        <f ca="1">'سجل الخاص'!N30</f>
        <v>864</v>
      </c>
      <c r="F174">
        <f t="shared" ca="1" si="5"/>
        <v>864.00174000000004</v>
      </c>
    </row>
    <row r="175" spans="1:6">
      <c r="A175" t="str">
        <f>'سجل الخاص'!C31</f>
        <v>مهتاب الطاف الطاف احمد</v>
      </c>
      <c r="B175" t="str">
        <f>'سجل الخاص'!F31</f>
        <v>س د ي 2487</v>
      </c>
      <c r="C175" t="s">
        <v>380</v>
      </c>
      <c r="D175">
        <f>'سجل الخاص'!M31</f>
        <v>47125</v>
      </c>
      <c r="E175">
        <f ca="1">'سجل الخاص'!N31</f>
        <v>864</v>
      </c>
      <c r="F175">
        <f t="shared" ca="1" si="5"/>
        <v>864.00175000000002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لوحة المعلومات</vt:lpstr>
      <vt:lpstr>سجل النقل</vt:lpstr>
      <vt:lpstr>معلومات سائقون النقل العام</vt:lpstr>
      <vt:lpstr>سجل الخاص</vt:lpstr>
      <vt:lpstr>الأسبير والمعطلة</vt:lpstr>
      <vt:lpstr>السائقون في إجازة</vt:lpstr>
      <vt:lpstr>بيانات_الربط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Njoud</cp:lastModifiedBy>
  <cp:revision>2</cp:revision>
  <dcterms:created xsi:type="dcterms:W3CDTF">2026-06-23T11:43:21Z</dcterms:created>
  <dcterms:modified xsi:type="dcterms:W3CDTF">2026-08-27T13:30:25Z</dcterms:modified>
  <dc:language>en-US</dc:language>
</cp:coreProperties>
</file>